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C" sheetId="1" r:id="rId4"/>
    <sheet state="visible" name="Sheet2" sheetId="2" r:id="rId5"/>
    <sheet state="visible" name="Use Case Cost Overview &amp; Calcul" sheetId="3" r:id="rId6"/>
    <sheet state="visible" name="A&amp;U" sheetId="4" r:id="rId7"/>
    <sheet state="visible" name="Ad Testing" sheetId="5" r:id="rId8"/>
    <sheet state="visible" name="Concept Testing" sheetId="6" r:id="rId9"/>
    <sheet state="visible" name="Competitive Benchmarking" sheetId="7" r:id="rId10"/>
    <sheet state="visible" name="Competitive Landscape  Market L" sheetId="8" r:id="rId11"/>
    <sheet state="visible" name="Message Testing w MaxDiff" sheetId="9" r:id="rId12"/>
    <sheet state="visible" name="Product Development w Conjoint" sheetId="10" r:id="rId13"/>
    <sheet state="visible" name="Segmentation" sheetId="11" r:id="rId14"/>
    <sheet state="visible" name="Product Development w MaxDiff" sheetId="12" r:id="rId15"/>
    <sheet state="visible" name="BX | Implementation &amp; Services" sheetId="13" r:id="rId16"/>
    <sheet state="visible" name="Core XM | Implementation &amp; Serv" sheetId="14" r:id="rId17"/>
    <sheet state="visible" name="Ad-Hoc | Design and Build" sheetId="15" r:id="rId18"/>
    <sheet state="visible" name="Ad-Hoc | Reporting &amp; Analytics" sheetId="16" r:id="rId19"/>
    <sheet state="visible" name="Ad-Hoc | Data Collection" sheetId="17" r:id="rId20"/>
    <sheet state="visible" name="List view" sheetId="18" r:id="rId21"/>
    <sheet state="visible" name="Ad-Hoc | Tech Add-Ons" sheetId="19" r:id="rId22"/>
    <sheet state="visible" name="Ad-Hoc | Qualitative" sheetId="20" r:id="rId23"/>
    <sheet state="visible" name="Graham misc notes" sheetId="21" r:id="rId24"/>
    <sheet state="visible" name="Status by product line" sheetId="22" r:id="rId25"/>
    <sheet state="visible" name="Staff Rates (Internal)" sheetId="23" r:id="rId26"/>
    <sheet state="visible" name="Staff Rates (External)" sheetId="24" r:id="rId27"/>
    <sheet state="hidden" name="Current Legal Language " sheetId="25" r:id="rId28"/>
  </sheets>
  <definedNames>
    <definedName hidden="1" localSheetId="17" name="_xlnm._FilterDatabase">'List view'!$A$1:$CO$374</definedName>
  </definedNames>
  <calcPr/>
  <extLst>
    <ext uri="GoogleSheetsCustomDataVersion2">
      <go:sheetsCustomData xmlns:go="http://customooxmlschemas.google.com/" r:id="rId29" roundtripDataChecksum="AGn7vONcmYbgmQDnzVXYq2bS5sf23xiAeqD9keYax4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0">
      <text>
        <t xml:space="preserve">======
ID#AAABXUUsEAo
Stephen Kelly    (2024-10-15 09:28:08)
@fconnolly@qualtrics.com 
FYI
_Assigned to fconnolly@qualtrics.com_</t>
      </text>
    </comment>
  </commentList>
  <extLst>
    <ext uri="GoogleSheetsCustomDataVersion2">
      <go:sheetsCustomData xmlns:go="http://customooxmlschemas.google.com/" r:id="rId1" roundtripDataSignature="AMtx7mhmZp4KAT+yomEGNtahZl/KuDUiAw=="/>
    </ext>
  </extLst>
</comments>
</file>

<file path=xl/sharedStrings.xml><?xml version="1.0" encoding="utf-8"?>
<sst xmlns="http://schemas.openxmlformats.org/spreadsheetml/2006/main" count="4875" uniqueCount="1174">
  <si>
    <t>Table of Contents</t>
  </si>
  <si>
    <t>Full Service Offerings</t>
  </si>
  <si>
    <t>A&amp;U</t>
  </si>
  <si>
    <t>Ad Testing</t>
  </si>
  <si>
    <t>Concept Testing</t>
  </si>
  <si>
    <t>Competitive Benchmarking</t>
  </si>
  <si>
    <t>Competitive Landscape / Market Landscape</t>
  </si>
  <si>
    <t>Message Testing w/ Max Diff</t>
  </si>
  <si>
    <t>Product Development w/ Conjoint</t>
  </si>
  <si>
    <t>Product Development w/ MaxDiff</t>
  </si>
  <si>
    <t>Segmentation</t>
  </si>
  <si>
    <t>Ad-Hoc Services</t>
  </si>
  <si>
    <t>BX Implementation &amp; Services</t>
  </si>
  <si>
    <t>Core XM Implementation &amp; Services</t>
  </si>
  <si>
    <t>Design &amp; Build</t>
  </si>
  <si>
    <t>Data Collection</t>
  </si>
  <si>
    <t>Reporting &amp; Analytics</t>
  </si>
  <si>
    <t>Tech Add-Ons</t>
  </si>
  <si>
    <t>Qualitative</t>
  </si>
  <si>
    <t>Jump to List View</t>
  </si>
  <si>
    <t>Main</t>
  </si>
  <si>
    <t>Booster</t>
  </si>
  <si>
    <t>Booster CPI</t>
  </si>
  <si>
    <t>Cost Overview for Full-Service Research</t>
  </si>
  <si>
    <t>Base Full-Service Bundle Costs</t>
  </si>
  <si>
    <t>Tier 1 - Standard</t>
  </si>
  <si>
    <t>Tier 2 - Standard Plus</t>
  </si>
  <si>
    <t>Tier 3 - Advanced</t>
  </si>
  <si>
    <t>Tier 4 - Custom</t>
  </si>
  <si>
    <t>Brand Tracking</t>
  </si>
  <si>
    <t>Message Testing w MaxDiff</t>
  </si>
  <si>
    <t>Product Development w Conjoint</t>
  </si>
  <si>
    <t>Product Development w MaxDiff</t>
  </si>
  <si>
    <t>Data Collection Details</t>
  </si>
  <si>
    <t>Enter Cost per Complete (CPI) to Qualtrics</t>
  </si>
  <si>
    <t>&lt;-- Enter CPI from vendors</t>
  </si>
  <si>
    <t>Margin percentage</t>
  </si>
  <si>
    <t>&lt;-- Min 60%</t>
  </si>
  <si>
    <t xml:space="preserve">Cost per Complete (CPI) to Client </t>
  </si>
  <si>
    <t>Note, minumum $5 CPI to clients</t>
  </si>
  <si>
    <t>Enter Sample Size (n)</t>
  </si>
  <si>
    <t>&lt;-- Enter desired sample size</t>
  </si>
  <si>
    <t>Base Costs + Data Collection Costs</t>
  </si>
  <si>
    <t>-</t>
  </si>
  <si>
    <t>AdTesting</t>
  </si>
  <si>
    <t>Add-Ons or Ad-Hoc</t>
  </si>
  <si>
    <t>Total Costs of Add-Ons or Ad-Hoc</t>
  </si>
  <si>
    <t>Add-Ons or Ad-Hoc Services</t>
  </si>
  <si>
    <t>Service</t>
  </si>
  <si>
    <t>Tier</t>
  </si>
  <si>
    <t>Needed Details</t>
  </si>
  <si>
    <t>Entered Details</t>
  </si>
  <si>
    <t>Additional Costs</t>
  </si>
  <si>
    <t>Design and Build</t>
  </si>
  <si>
    <t>Total Additional Costs</t>
  </si>
  <si>
    <t>Survey Review and Consultation</t>
  </si>
  <si>
    <t>Standard</t>
  </si>
  <si>
    <t>Number Needed</t>
  </si>
  <si>
    <t>Standard Plus</t>
  </si>
  <si>
    <t>Advanced</t>
  </si>
  <si>
    <t>Custom</t>
  </si>
  <si>
    <t>Survey Design &amp; Build</t>
  </si>
  <si>
    <t>Survey Build (without Design)</t>
  </si>
  <si>
    <t>Translation (front-end)</t>
  </si>
  <si>
    <t>Typing Tool Programming</t>
  </si>
  <si>
    <t>Click "+" to expand and see Design and Build Add-Ons/Ad-Hoc Services</t>
  </si>
  <si>
    <t>Panel Sample - Standard</t>
  </si>
  <si>
    <t>Panel Sample</t>
  </si>
  <si>
    <t>Panel Sample - Probability Sample</t>
  </si>
  <si>
    <t>List Send - Branded</t>
  </si>
  <si>
    <t>List Send - Unbranded</t>
  </si>
  <si>
    <t>Incentive Management</t>
  </si>
  <si>
    <t>Incentives</t>
  </si>
  <si>
    <t>Number of Incentives</t>
  </si>
  <si>
    <t>3rd Party Integration</t>
  </si>
  <si>
    <t>Data Appends</t>
  </si>
  <si>
    <t>Click "+" to expand and see Data Collection Add-Ons/Ad-Hoc Services</t>
  </si>
  <si>
    <t>Weighting</t>
  </si>
  <si>
    <t>needs to be updated</t>
  </si>
  <si>
    <t>Crosstabs</t>
  </si>
  <si>
    <t>Reporting</t>
  </si>
  <si>
    <t>Dashboards</t>
  </si>
  <si>
    <t>Open End Coding</t>
  </si>
  <si>
    <t>Translations (back-end)</t>
  </si>
  <si>
    <t>Data Scrub</t>
  </si>
  <si>
    <t>Data Transposition</t>
  </si>
  <si>
    <t>Click "+" to expand and see Reporting &amp; Analytics Add-Ons/Ad-Hoc Services</t>
  </si>
  <si>
    <t>Advanced Analytics</t>
  </si>
  <si>
    <t>Conjoint Design &amp; Analysis</t>
  </si>
  <si>
    <t>MaxDiff Design &amp; Analysis</t>
  </si>
  <si>
    <t>TURF Analysis &amp; Tool</t>
  </si>
  <si>
    <t>Regression Analysis</t>
  </si>
  <si>
    <t>Clustering Analysis</t>
  </si>
  <si>
    <t>Typing tool creation</t>
  </si>
  <si>
    <t>Market Sizing Analysis</t>
  </si>
  <si>
    <t>Click "+" to expand and see Advanced Analytics Add-Ons/Ad-Hoc Services</t>
  </si>
  <si>
    <t>iModerate</t>
  </si>
  <si>
    <t>Luth Passive Metering</t>
  </si>
  <si>
    <t>MFour Behavioral Data</t>
  </si>
  <si>
    <t>VoxPopMe Video Open Ends</t>
  </si>
  <si>
    <t>Affectiva</t>
  </si>
  <si>
    <t>Click "+" to expand and see Tech Add-Ons/Ad-Hoc Services</t>
  </si>
  <si>
    <t>Click "+" to expand and see Qualitative Add-Ons/Ad-Hoc Services</t>
  </si>
  <si>
    <t>A&amp;U One- Pager</t>
  </si>
  <si>
    <t>Fundamental research aimed to guide brand development  business growth by better understanding a market and identifying opportunities to expand reach, attract new  consumers, improve brand/product positioning, and optimize product and service features.</t>
  </si>
  <si>
    <t>Return to Home</t>
  </si>
  <si>
    <t>XM Solution</t>
  </si>
  <si>
    <t>Overview</t>
  </si>
  <si>
    <t>N/A</t>
  </si>
  <si>
    <t>Smaller</t>
  </si>
  <si>
    <t>Added imagery and reporting</t>
  </si>
  <si>
    <t>More brands, imagery, more reporting, regression analysis</t>
  </si>
  <si>
    <t>Survey Design &amp; Build - Standard</t>
  </si>
  <si>
    <t>Survey Design &amp; Build - Standard Plus</t>
  </si>
  <si>
    <t>Survey Design &amp; Build - Advanced</t>
  </si>
  <si>
    <t>Up to 8 competitor brands</t>
  </si>
  <si>
    <t>Up to 15 competitor brands</t>
  </si>
  <si>
    <t>Up to 10 imagery statements</t>
  </si>
  <si>
    <t>Up to 20 imagery statements</t>
  </si>
  <si>
    <t>No translation</t>
  </si>
  <si>
    <t>No typing tool programmed</t>
  </si>
  <si>
    <t>B2B or B2C Sample through Online Panel Partners with up to 3 quotas on completes</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</si>
  <si>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</si>
  <si>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</si>
  <si>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</si>
  <si>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CPI * 2.5 / complete</t>
  </si>
  <si>
    <t>Analysis &amp; Reporting</t>
  </si>
  <si>
    <t>Reporting - Standard Plus</t>
  </si>
  <si>
    <t>Reporting - Advanced</t>
  </si>
  <si>
    <t>Data Scrub - Standard</t>
  </si>
  <si>
    <t>Crosstabs - Standard</t>
  </si>
  <si>
    <t>No Dashboard</t>
  </si>
  <si>
    <t>No Typing Tool</t>
  </si>
  <si>
    <t>Open-Ended coding - Standard Plus, for 1 OE per Person</t>
  </si>
  <si>
    <t>No Weighting</t>
  </si>
  <si>
    <t>No Regression Analysis</t>
  </si>
  <si>
    <t>Optional Regression Analysis</t>
  </si>
  <si>
    <t>No market sizing analysis</t>
  </si>
  <si>
    <t>$16,900 + $0.68 * n (for OE coding)</t>
  </si>
  <si>
    <t>$21,900 + $0.68 * n (for OE coding)</t>
  </si>
  <si>
    <t>Total Base Costs</t>
  </si>
  <si>
    <t>$24,900 + n*(CPI*2.5+$0.68)</t>
  </si>
  <si>
    <t>$28,400 + n*(CPI*2.5+$0.68)</t>
  </si>
  <si>
    <t>$35,900 + n*(CPI*2.5+$0.68)</t>
  </si>
  <si>
    <t>Optional Add-Ons</t>
  </si>
  <si>
    <t>Item</t>
  </si>
  <si>
    <t>Description</t>
  </si>
  <si>
    <t xml:space="preserve">Added Costs </t>
  </si>
  <si>
    <t>Data Append - Advanced</t>
  </si>
  <si>
    <t>Data Append - Extra Advanced</t>
  </si>
  <si>
    <t>Translations - Standard Plus</t>
  </si>
  <si>
    <t>Translations - Advanced</t>
  </si>
  <si>
    <t>Data Collection - Standard Plus</t>
  </si>
  <si>
    <t>Add $1 / Complete</t>
  </si>
  <si>
    <t>Data Collection - Advanced</t>
  </si>
  <si>
    <t>Add $2 / Complete</t>
  </si>
  <si>
    <t>Open-Ended Coding - Standard Plus</t>
  </si>
  <si>
    <t>Back-End Translations - Standard Plus</t>
  </si>
  <si>
    <t>Back-End Translations - Advanced</t>
  </si>
  <si>
    <t>Data Weighting - Standard</t>
  </si>
  <si>
    <t>Data Weighting - Standard Plus</t>
  </si>
  <si>
    <t>Data Weighting - Advanced</t>
  </si>
  <si>
    <t>Typing Tool Programming - Standard</t>
  </si>
  <si>
    <t>Typing Tool Programming - Standard Plus</t>
  </si>
  <si>
    <t>Ad Testing One- Pager</t>
  </si>
  <si>
    <t>Testing advertisements, messaging, and content before it goes live in the market to mitigate the risk of an ineffective ad and ensure resonation with desired target audience.</t>
  </si>
  <si>
    <t>Ad Testing with Basic Reporting on a Smaller Set of Ads</t>
  </si>
  <si>
    <t>Ad Testing for a Larger Number of Ads</t>
  </si>
  <si>
    <t>Ad Testing with Additional Reporting</t>
  </si>
  <si>
    <t>Ad Testing with Custom Build Needs, Additional Analytics or Added Deliverables</t>
  </si>
  <si>
    <t>An expert-built template preloaded with the right questions</t>
  </si>
  <si>
    <t>Ph.D. designed methodology</t>
  </si>
  <si>
    <t>Sequential or Monadic Design</t>
  </si>
  <si>
    <t>Prebuilt logic and survey structure</t>
  </si>
  <si>
    <t>Up to 4 Ads (print ads or video ads)</t>
  </si>
  <si>
    <t>Up to 8 Ads (print ads or video ads)</t>
  </si>
  <si>
    <t>Automated workflow</t>
  </si>
  <si>
    <t>Optional use of heatmap, hotspot, or highlighter tools</t>
  </si>
  <si>
    <t>Client must host videos or place on Vimeo/YouTube</t>
  </si>
  <si>
    <t>Creative Testing: 
Additional Fee
Require License: Research Core 5</t>
  </si>
  <si>
    <t>Ad Creative Testing:
Included in License
Require License: Research Core 3</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</si>
  <si>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</si>
  <si>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</si>
  <si>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</si>
  <si>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</si>
  <si>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</si>
  <si>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Pre Built reports</t>
  </si>
  <si>
    <t>Reporting - Standard</t>
  </si>
  <si>
    <t>Open-Ended coding - Standard Plus for 1 OE per Person</t>
  </si>
  <si>
    <t>Open-Ended coding - Standard Plus  for 3 OE per Person</t>
  </si>
  <si>
    <t>Open-Ended coding Standard Plus for 3 OE per Person</t>
  </si>
  <si>
    <t>$13,000 + $0.68 * n (for OE coding)</t>
  </si>
  <si>
    <t>$13,000 + $0.68 * 3n (for OE coding)</t>
  </si>
  <si>
    <t>$18,000 + $0.68 * n (for OE coding)</t>
  </si>
  <si>
    <t>$24,500 + n*(CPI*2.5+$0.68)</t>
  </si>
  <si>
    <t>$27,000 + n*(CPI*2.5+$2.04)</t>
  </si>
  <si>
    <t>$32,900 + n*(CPI*2.5+$2.04)</t>
  </si>
  <si>
    <t>VoxPopMe</t>
  </si>
  <si>
    <t>Dialsmith</t>
  </si>
  <si>
    <t>Eye Square</t>
  </si>
  <si>
    <t>Concept Testing One- Pager</t>
  </si>
  <si>
    <t>The investigation of potential consumers reactions to a proposed product or service before introducing it to market. As businesses look to launch a product, concept testing is a valuable step to identify perceptions, wants, and needs associated with a product or service.</t>
  </si>
  <si>
    <t>Concept Testing with Basic Reporting on a Smaller Set of Concepts</t>
  </si>
  <si>
    <t>Concept Testing for a Larger Number of Concepts</t>
  </si>
  <si>
    <t>Concept Testing with Additional Reporting</t>
  </si>
  <si>
    <t>Concept Testing with Custom Build Needs, Additional Analytics or Added Deliverables</t>
  </si>
  <si>
    <t>Up to 4 Concepts</t>
  </si>
  <si>
    <t>Up to 8 Concepts</t>
  </si>
  <si>
    <t>Included with License
Require License: Research Core 3</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</si>
  <si>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</si>
  <si>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</si>
  <si>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</si>
  <si>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</si>
  <si>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</si>
  <si>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Crosstabs - Standard Plus</t>
  </si>
  <si>
    <t>Understanding customer satisfation, touchpoints, and interactions with a brand to allow comparison across all brands in the category.</t>
  </si>
  <si>
    <t>Moderate set of competitive brands with high level satisfaction metrics</t>
  </si>
  <si>
    <t>Moderate set of competitive brands with a deeper dive into products or touchpoint satisfaction</t>
  </si>
  <si>
    <t>Larger set of competitive brands with a deeper dive into products or touchpoint satisfaction. Includes dashboard.</t>
  </si>
  <si>
    <t>Up to 8 brands</t>
  </si>
  <si>
    <t>Up to 15 brands</t>
  </si>
  <si>
    <t>Up to 10 touchpoints/product types</t>
  </si>
  <si>
    <t>Up to 20 touchpoints/product types</t>
  </si>
  <si>
    <t>B2B or B2C Sample through Online Panel Partners with up to 5 quotas on completes OR nested quotas (2 variables)</t>
  </si>
  <si>
    <t>(CPI * 2.5 + $1) / complete</t>
  </si>
  <si>
    <t>Dashboard - Standard Plus</t>
  </si>
  <si>
    <t>Optional Regression Analysis (1)</t>
  </si>
  <si>
    <t>$20,500 + $0.68 * n (for OE coding)</t>
  </si>
  <si>
    <t>$24,500 + $2.04 * n (for OE coding)</t>
  </si>
  <si>
    <t>$34,500 + $2.04 * n (for OE coding)</t>
  </si>
  <si>
    <t>$32,000 + n*(CPI*2.5+$1.68)</t>
  </si>
  <si>
    <t>$36,000 + n*(CPI*2.5+$3.04)</t>
  </si>
  <si>
    <t>$48,500 + n*(CPI*2.5+$3.04)</t>
  </si>
  <si>
    <t>Dashboard - Advanced</t>
  </si>
  <si>
    <t>Data Appends - Advanced</t>
  </si>
  <si>
    <t>Data Appends - Extra Advanced</t>
  </si>
  <si>
    <t>Competitive Landscape / 
Market Landscape</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</si>
  <si>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</si>
  <si>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</si>
  <si>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</si>
  <si>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</si>
  <si>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$24,500 + $0.68 * n (for OE coding)</t>
  </si>
  <si>
    <t>$21,000 + n*(CPI*2.5+$0.68)</t>
  </si>
  <si>
    <t>$29,500 + n*(CPI*2.5+$0.68)</t>
  </si>
  <si>
    <t>$37,500 + n*(CPI*2.5+$0.68)</t>
  </si>
  <si>
    <t>Factor Analysis</t>
  </si>
  <si>
    <t>Message Testing w/ MaxDiff</t>
  </si>
  <si>
    <t>Link to One- Pager</t>
  </si>
  <si>
    <t>With a MaxDiff methodology, we can test 10 to 25 potential messages and determine the optimal set messages to include in communications or across an advertisement campaign and maximize ROI during communication development and launch.</t>
  </si>
  <si>
    <t>Note, pricing below is for full-service (end-to-end) only and includes a full survey build and PPT report in additional to the MaxDiff.
Please see the "Ad-Hoc | Reporting &amp; Analytics" tab for MaxDiff costs without other services.</t>
  </si>
  <si>
    <t>MaxDiff with 8-20 statements and Standard Reportng</t>
  </si>
  <si>
    <t>MaxDiff with 8-20 statements and Reporting and TURF Analysis &amp; Simulator</t>
  </si>
  <si>
    <t>MaxDiff with 8-20 statements with additional Analysis including Message Refinement, TURF Analysis &amp; Simulator</t>
  </si>
  <si>
    <t>MaxDiff Design &amp; Analysis - Standard</t>
  </si>
  <si>
    <t>MaxDiff Design &amp; Analysis - Standard Plus</t>
  </si>
  <si>
    <t>No Translation</t>
  </si>
  <si>
    <t>Message refinement via heatmap, hotspot, or highlighter tools</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</si>
  <si>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</si>
  <si>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</si>
  <si>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</si>
  <si>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</si>
  <si>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No TURF Analysis</t>
  </si>
  <si>
    <t>TURF Analysis &amp; Simulator</t>
  </si>
  <si>
    <t>No Open-Ended coding</t>
  </si>
  <si>
    <t>$26,000 + n*(CPI*2.5)</t>
  </si>
  <si>
    <t>$29,000 + n*(CPI*2.5)</t>
  </si>
  <si>
    <t>$40,000 + n*(CPI*2.5)</t>
  </si>
  <si>
    <t>Conjoint analysis is an advanced analytic technique which assesses the importance consumers place on different features of a given product or service.</t>
  </si>
  <si>
    <t>Note, pricing below is for full-service (end-to-end) only and includes a full survey build and PPT report in additional to the Conjoint.
Please see the "Ad-Hoc | Reporting &amp; Analytics" tab for Conjoint costs without other services.</t>
  </si>
  <si>
    <t>Conjoint Tool</t>
  </si>
  <si>
    <t xml:space="preserve">Conjoint with 3-7 Features, each with 2-5 levels, a standard survey build around the conjoint, and basic reporting </t>
  </si>
  <si>
    <t>Conjoint with 3-7 Features, each with 2-5 levels, a more complex survey build around the conjoint and additional reporting</t>
  </si>
  <si>
    <t>More advanced conjoint with survey build and additional reporting</t>
  </si>
  <si>
    <t>Conjoint Design &amp; Analysis - Standard Plus</t>
  </si>
  <si>
    <t>Conjoint Design &amp; Analysis - Advanced</t>
  </si>
  <si>
    <t>Additional Fee
Required License: Research Core 3</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</si>
  <si>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</si>
  <si>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</si>
  <si>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</si>
  <si>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</si>
  <si>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</si>
  <si>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$33,000 + n*(CPI*2.5)</t>
  </si>
  <si>
    <t>$41,500 + n*(CPI*2.5)</t>
  </si>
  <si>
    <t>$43,500 + n*(CPI*2.5)</t>
  </si>
  <si>
    <t>TURF Analysis - Standard</t>
  </si>
  <si>
    <t>TURF Analysis - Standard Plus</t>
  </si>
  <si>
    <t xml:space="preserve"> </t>
  </si>
  <si>
    <t>Breaking up the overall market into clearly identifiable segments having similar wants and needs characteristics. A subset are often then selected as "target segments" based on their economic potential, as well as, receptivity to the brand.</t>
  </si>
  <si>
    <t>Standard Full-Service Segmentation with Reporting, CrossTabs and Typing Tool for Future Research</t>
  </si>
  <si>
    <t>Custom Segmentation Design and/or Analysis</t>
  </si>
  <si>
    <t>Tier 1, plus custom design needs</t>
  </si>
  <si>
    <t>No translations</t>
  </si>
  <si>
    <t>Custom Quote</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</si>
  <si>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</si>
  <si>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</si>
  <si>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Tier 1, plus custom analytic needs</t>
  </si>
  <si>
    <t>Segmentation (Clustering Analysis)</t>
  </si>
  <si>
    <t>Importing of the Segment Variable</t>
  </si>
  <si>
    <t>Typing Tool</t>
  </si>
  <si>
    <t>$57,750 + n*(CPI*2.5)</t>
  </si>
  <si>
    <t>$0.68 per complete</t>
  </si>
  <si>
    <t>With a MaxDiff methodology, we can test 10 to 25 potential product features and determine the optimal set features to include in product(s) to maximize consumer interest, volume, and revenue.</t>
  </si>
  <si>
    <t>https://www.qualtrics.com/marketplace/max-diff-software-tool/</t>
  </si>
  <si>
    <t>MaxDiff with 8-20 Product Features and Standard Reportng</t>
  </si>
  <si>
    <t>MaxDiff with 8-20 Product Features and Reporting and TURF Analysis &amp; Simulator</t>
  </si>
  <si>
    <t>MaxDiff with 8-20 Product Features with additional Analysis including Feature Refinement, TURF Analysis &amp; Simulator</t>
  </si>
  <si>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</si>
  <si>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</si>
  <si>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</si>
  <si>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</si>
  <si>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r>
      <rPr>
        <rFont val="Arial"/>
        <color rgb="FF000000"/>
        <sz val="12.0"/>
      </rPr>
      <t xml:space="preserve">B2B or B2C Sample through Online Panel Partners with up to 3 quotas on </t>
    </r>
    <r>
      <rPr>
        <rFont val="Calibri"/>
        <color rgb="FF000000"/>
        <sz val="12.0"/>
        <u/>
      </rPr>
      <t>completes</t>
    </r>
  </si>
  <si>
    <t>BX - Brand Tracking</t>
  </si>
  <si>
    <t>Understand your market, your brand performance, and your competitors better than ever before. Qualtrics BrandXM™ gives you easy-to-use tools to help you:
Strengthen brand equity
Improve brand perceptions
And drive sustainable growth</t>
  </si>
  <si>
    <t>Tier 3 - NA</t>
  </si>
  <si>
    <t>Implementation</t>
  </si>
  <si>
    <t>Custom quote required if:
Multiple dashboards or builds
Over 60 questions
Multiple pathways or links
Over 20 dashboard filters
Large number of custom metrics
Multiple data sources
Other items not covered in Standard or Standard Plus</t>
  </si>
  <si>
    <t>Data Migration - Internal</t>
  </si>
  <si>
    <t>Includes migrating 1 survey and 1 dashboard from CoreXM or CX to BX.
Assumptions:
Other than enabling these existing projects to have access to BX technology, no other survey or dashboard edits are included. Modifications outside of this migration require additional scoping and costs.</t>
  </si>
  <si>
    <t>Data Migration - External</t>
  </si>
  <si>
    <t>Includes migration from an external data source (CRM, sales data, etc.)</t>
  </si>
  <si>
    <t>Survey Review &amp; Consultation</t>
  </si>
  <si>
    <t>Includes methodology review and consultation for:
1 survey in English
Up to 30 questions
1 survey pathway (no differences by market/category)
Up to 20 brands (including competitors)
Up to 2 rounds of iteration (one round of customer marked-up feedback on question content, response options, or logic that impacts 5 or more questions)
Assumptions:
The customer provides a fully written out questionnaire, including demographics and screener questions. Bullets or partially written questions will require design services and an additional cost.
The customer provides the questionnaire in a Word file, Google Doc, or similar format. Excel or Google Sheet formats will require additional scoping and costs.</t>
  </si>
  <si>
    <t>Includes methodology review and consultation for:
1 survey in English
Up to 60 questions
1 survey pathway (no differences by market/category)
Up to 20 brands (including competitors)
Up to 3 rounds of iteration (one round of customer marked-up feedback on question content, response options, or logic that impacts 5 or more questions)
Assumptions:
The customer provides a fully written out questionnaire, including demographics and screener questions. Bullets or partially written questions will require design services and an additional cost.
The customer provides the questionnaire in a Word file, Google Doc, or similar format. Excel or Google Sheet formats will require additional scoping and costs.</t>
  </si>
  <si>
    <t>Includes methodology review and consultation for:
Multiple surveys
Surveys over 60 questions
Surveys with multiple pathways
Other cases not covered in standard or standard plus</t>
  </si>
  <si>
    <t>Survey Design</t>
  </si>
  <si>
    <t>Includes design for: 
1 survey in English
Up to 30 questions
1 survey pathway (no differences by market/category)
Up to 20 brands (including competitors)
Up to 10 brand attributes/imagery statements
Up to 2 rounds of iteration (one round of customer marked-up feedback on question content, response options, or logic that impacts 5 or more questions)
Includes design consultation on dashboard layout and content
Estimated Timing: 1-2 weeks</t>
  </si>
  <si>
    <t>Includes design for: 
1 survey in English
Up to 60 questions
1 survey pathway (no differences by market/category)
Up to 20 brands (including competitors)
Up to 20 brand attributes/imagery statements
Up to 3 rounds of iteration (one round of customer marked-up feedback on question content, response options, or logic that impacts 5 or more questions)
Includes design consultation on dashboard layout and content
Estimated Timing: 1-2 weeks</t>
  </si>
  <si>
    <t>Includes survey design for:
Multiple surveys
Surveys over 60 questions
Surveys with multiple pathways
Other cases not covered in standard or standard plus</t>
  </si>
  <si>
    <t>Consultation Services - Research Experts</t>
  </si>
  <si>
    <r>
      <rPr>
        <rFont val="Arial"/>
        <b/>
        <color rgb="FF000000"/>
        <sz val="12.0"/>
      </rPr>
      <t xml:space="preserve">Research Analyst or Specialist
</t>
    </r>
    <r>
      <rPr>
        <rFont val="Arial"/>
        <color rgb="FF000000"/>
        <sz val="12.0"/>
      </rPr>
      <t>Customer may engage a Qualtrics research expert for survey programming, dashboard programming, analytics support, data consultation and data interpretation.</t>
    </r>
  </si>
  <si>
    <r>
      <rPr>
        <rFont val="Arial"/>
        <b/>
        <color rgb="FF000000"/>
        <sz val="12.0"/>
      </rPr>
      <t xml:space="preserve">Research Manager
</t>
    </r>
    <r>
      <rPr>
        <rFont val="Arial"/>
        <color rgb="FF000000"/>
        <sz val="12.0"/>
      </rPr>
      <t>Customer may engage a Qualtrics research manager for analytics support, data consultation and data interpretation.</t>
    </r>
  </si>
  <si>
    <t>$250 per hour</t>
  </si>
  <si>
    <t>$350 per hour</t>
  </si>
  <si>
    <t>Consultation Services - XM Scientists</t>
  </si>
  <si>
    <t xml:space="preserve">Customer may engage a Qualtrics XMS for methodology or analytics advice and consultation. </t>
  </si>
  <si>
    <t>Consultation Services - Tech Consultant</t>
  </si>
  <si>
    <t>Customer may engage a Qualtrics technology consultation for survey programming and dashboard programming.</t>
  </si>
  <si>
    <t>BX Ongoing Success Packages: Base</t>
  </si>
  <si>
    <t>Support on BX Licenses which includes:
Standard Product Support &amp; Customer Success</t>
  </si>
  <si>
    <t>Customer Profile: Stable program, declines support and willing to be self-sufficient; 
typically &lt;$60k in spend</t>
  </si>
  <si>
    <r>
      <rPr>
        <rFont val="Arial"/>
        <b/>
        <color rgb="FF000000"/>
        <sz val="12.0"/>
      </rPr>
      <t xml:space="preserve">Included with all BX licenses
</t>
    </r>
    <r>
      <rPr>
        <rFont val="Arial"/>
        <b/>
        <color rgb="FF000000"/>
        <sz val="8.0"/>
      </rPr>
      <t>(CSM coverage varies by spend tier and included only if license spend &gt;$50k)</t>
    </r>
  </si>
  <si>
    <t>BX Ongoing Success Packages: Guided</t>
  </si>
  <si>
    <r>
      <rPr>
        <rFont val="Arial"/>
        <color rgb="FF000000"/>
        <sz val="12.0"/>
      </rPr>
      <t xml:space="preserve">Support on BX Licenses which includes:
Standard Product Support &amp; Customer Success
Quarterly consulting retainer for </t>
    </r>
    <r>
      <rPr>
        <rFont val="Arial"/>
        <b/>
        <color rgb="FF000000"/>
        <sz val="12.0"/>
        <u/>
      </rPr>
      <t>up to 5 hours per quarter</t>
    </r>
    <r>
      <rPr>
        <rFont val="Arial"/>
        <color rgb="FF000000"/>
        <sz val="12.0"/>
      </rPr>
      <t xml:space="preserve"> that could be used for:
Minor question or dashboard edits
Data interpretation and consulting
Thought partnership</t>
    </r>
  </si>
  <si>
    <r>
      <rPr>
        <rFont val="Arial"/>
        <color rgb="FF000000"/>
        <sz val="12.0"/>
      </rPr>
      <t xml:space="preserve">Support on BX Licenses which includes:
Standard Product Support &amp; Customer Success
Quarterly consulting retainer for </t>
    </r>
    <r>
      <rPr>
        <rFont val="Arial"/>
        <b/>
        <color rgb="FF000000"/>
        <sz val="12.0"/>
        <u/>
      </rPr>
      <t>up to 10 hours per quarter</t>
    </r>
    <r>
      <rPr>
        <rFont val="Arial"/>
        <color rgb="FF000000"/>
        <sz val="12.0"/>
      </rPr>
      <t xml:space="preserve"> that could be used for:
Minor question or dashboard edits
Data interpretation and consulting
Thought partnership</t>
    </r>
  </si>
  <si>
    <r>
      <rPr>
        <rFont val="Arial"/>
        <color rgb="FF000000"/>
        <sz val="12.0"/>
      </rPr>
      <t xml:space="preserve">Support on BX Licenses which includes:
Standard Product Support &amp; Customer Success
Quarterly consulting retainer for </t>
    </r>
    <r>
      <rPr>
        <rFont val="Arial"/>
        <b/>
        <color rgb="FF000000"/>
        <sz val="12.0"/>
        <u/>
      </rPr>
      <t>up to 15 hours per quarter</t>
    </r>
    <r>
      <rPr>
        <rFont val="Arial"/>
        <color rgb="FF000000"/>
        <sz val="12.0"/>
      </rPr>
      <t xml:space="preserve"> that could be used for:
Minor question or dashboard edits
Data interpretation and consulting
Thought partnership</t>
    </r>
  </si>
  <si>
    <t xml:space="preserve">Customer Profile:   Moderate complexity programs, likely to require light updates and assistance
</t>
  </si>
  <si>
    <t>$6,000/year</t>
  </si>
  <si>
    <t>$12,000/year</t>
  </si>
  <si>
    <t>$18,000/year</t>
  </si>
  <si>
    <t>BX Ongoing Success Packages: Advanced</t>
  </si>
  <si>
    <r>
      <rPr>
        <rFont val="Arial"/>
        <color rgb="FF000000"/>
        <sz val="12.0"/>
      </rPr>
      <t xml:space="preserve">Support on BX Licenses which includes:
Standard Product Support &amp; Customer Success
Quarterly consulting retainer for </t>
    </r>
    <r>
      <rPr>
        <rFont val="Arial"/>
        <b/>
        <color rgb="FF000000"/>
        <sz val="12.0"/>
        <u/>
      </rPr>
      <t>up to 10 hours per quarter</t>
    </r>
    <r>
      <rPr>
        <rFont val="Arial"/>
        <color rgb="FF000000"/>
        <sz val="12.0"/>
      </rPr>
      <t xml:space="preserve"> that could be used for:
Minor question or dashboard edits
Data intepretation and consulting
Thought partnership
</t>
    </r>
    <r>
      <rPr>
        <rFont val="Arial"/>
        <b/>
        <color rgb="FF000000"/>
        <sz val="12.0"/>
      </rPr>
      <t>Technical Account Manager</t>
    </r>
    <r>
      <rPr>
        <rFont val="Arial"/>
        <color rgb="FF000000"/>
        <sz val="12.0"/>
      </rPr>
      <t xml:space="preserve">, to provide higher level of program-specific platform support and configuration updates, for </t>
    </r>
    <r>
      <rPr>
        <rFont val="Arial"/>
        <b/>
        <color rgb="FF000000"/>
        <sz val="12.0"/>
        <u/>
      </rPr>
      <t>up to 5 hours per week</t>
    </r>
  </si>
  <si>
    <t>Customer Profile:  Highly complex enterprise programs with need for ongoing designated platform support</t>
  </si>
  <si>
    <r>
      <rPr>
        <rFont val="Arial"/>
        <b/>
        <color rgb="FF000000"/>
        <sz val="12.0"/>
      </rPr>
      <t xml:space="preserve">$62,000/year </t>
    </r>
    <r>
      <rPr>
        <rFont val="Arial"/>
        <b/>
        <color rgb="FF000000"/>
        <sz val="8.0"/>
      </rPr>
      <t xml:space="preserve">
($50,000 for TAM, $12,000 for Consulting)</t>
    </r>
  </si>
  <si>
    <t>Core XM Implementation and Services</t>
  </si>
  <si>
    <t>CoreXM Delivery Package Detail</t>
  </si>
  <si>
    <t>Self-Service</t>
  </si>
  <si>
    <t>CoreXM Implementation</t>
  </si>
  <si>
    <t xml:space="preserve">Small to midsize orgs using internal resources with Business Edition $0-100K ARR, no add-ons
</t>
  </si>
  <si>
    <r>
      <rPr>
        <rFont val="Arial"/>
        <b/>
        <color rgb="FF000000"/>
        <sz val="12.0"/>
      </rPr>
      <t xml:space="preserve">Standard Delivery Package
</t>
    </r>
    <r>
      <rPr>
        <rFont val="Arial"/>
        <color rgb="FF000000"/>
        <sz val="12.0"/>
      </rPr>
      <t>Implementation designed for midsize orgs using in house resources.
Business Edition ($50k-$100k) License Tier.
Includes:
Project Management
Kickoff call
Pre-launch review
Up to 8 hours of designated project consultant
Estimated timeline: 4 weeks</t>
    </r>
  </si>
  <si>
    <r>
      <rPr>
        <rFont val="Arial"/>
        <b/>
        <color rgb="FF000000"/>
        <sz val="12.0"/>
      </rPr>
      <t xml:space="preserve">Standard Plus Delivery Package
</t>
    </r>
    <r>
      <rPr>
        <rFont val="Arial"/>
        <color rgb="FF000000"/>
        <sz val="12.0"/>
      </rPr>
      <t>Implementation designed for larger programs, 1-2 use cases, growing internal capabilities
Business Edition (up to $100k) License Tier.
Includes:
Project Management
Kickoff call
Pre-launch review
Detailed project plan
Up to 16 hours of designated project consultant
Estimated timeline: 8 weeks</t>
    </r>
  </si>
  <si>
    <r>
      <rPr>
        <rFont val="Arial"/>
        <b/>
        <color rgb="FF000000"/>
        <sz val="12.0"/>
      </rPr>
      <t xml:space="preserve">Enterprise Essentials Delivery Package
</t>
    </r>
    <r>
      <rPr>
        <rFont val="Arial"/>
        <color rgb="FF000000"/>
        <sz val="12.0"/>
      </rPr>
      <t>Implementation designed for Complex XM programs
Multiple use cases.
Involves consultation and implementation
Business Edition (over $100k) License Tier.
Enterprise Edition Under $1M ARR
Includes:
Project Management
Kickoff call
Pre-launch review
Detailed project plan
Up to TBD hours of designated project consultant
Estimated timeline: TBD weeks</t>
    </r>
  </si>
  <si>
    <r>
      <rPr>
        <rFont val="Arial"/>
        <b/>
        <color rgb="FF000000"/>
        <sz val="12.0"/>
      </rPr>
      <t xml:space="preserve">Enterprise Premier Delivery Package
</t>
    </r>
    <r>
      <rPr>
        <rFont val="Arial"/>
        <color rgb="FF000000"/>
        <sz val="12.0"/>
      </rPr>
      <t>Implementation designed for Complex XM programs with 
Multiple use cases that Require high-touch.
Involves Premium consultation and implementation
Enterprise Edition Over $1M ARR
Includes:
Project Management
Kickoff call
Pre-launch review
Detailed project plan
Up to TBD hours of designated project consultant
Estimated timeline: TBD weeks</t>
    </r>
  </si>
  <si>
    <t>Custom XM Solutions</t>
  </si>
  <si>
    <t xml:space="preserve">Creation of a Custom XM Solution which includes Design &amp; Build, Guided Interface Set-Up, and Creation of Report Templates. Specifically, this includes:
Up to survey 20 questions
Light survey flow logic
Design review and consultation
No tie in with MaxDiff, Conjoint, or other advanced analytic tools
Guided interface
5 pre-built report pages with no custom widgets
Up to 2 iterations per deliverable
</t>
  </si>
  <si>
    <t xml:space="preserve">Creation of a Custom XM Solution which includes Design &amp; Build, Guided Interface Set-Up, and Creation of Report Templates. Specifically, this includes:
Up to survey 40 questions
Moderate survey flow logic
Design review and consultation
No tie in with MaxDiff, Conjoint, or other advanced analytic tools
Guided interface
10 pre-built report pages with no custom widgets
Up to 2 iterations per deliverable
</t>
  </si>
  <si>
    <t xml:space="preserve">Creation of a Custom XM Solution which includes Design &amp; Build, Guided Interface Set-Up, and Creation of Report Templates. Specifically, this includes:
Up to survey 60 questions
Complex survey flow logic
Design review and consultation
No tie in with MaxDiff, Conjoint, or other advanced analytic tools
Guided interface
15 pre-built report pages with no custom widgets
Up to 3 iterations per deliverable
</t>
  </si>
  <si>
    <t xml:space="preserve">Creation of a Custom XM Solution which includes Design &amp; Build, Guided Interface Set-Up, and Creation of Report Templates.
Custom scope required for surveys over 60 questions, requiring over 15 report pages, requiring custom widgets, involving a dashboard or more advance reporting, etc.
</t>
  </si>
  <si>
    <t>Note: CoreXM5 license required to create</t>
  </si>
  <si>
    <t>Solution Configuration Updates (Add-on)</t>
  </si>
  <si>
    <t>Updates to the Survey Design &amp; Build, Guided Interface, and Report Templates Deliverables
- Up to 20% change in each component performed under the respective
Deliverable (Survey Design &amp;amp; Build, Guided Interface, and Report Templates)
- All requests must be presented together with each update
- Up to 2 iterations for each deliverable, per instance of updates
- Provided in English</t>
  </si>
  <si>
    <t>Note: CoreXM5 license required to edit</t>
  </si>
  <si>
    <t>Additional Dashboard Configuration
(price per dashboard)</t>
  </si>
  <si>
    <t>Support for Standard Survey: Support client’s build of survey with max 30 Questions, 30 Embedded Data Fields; Standard Dashboard Build: Max 20 widgets/survey, max 60 widgets total, max 3 roles</t>
  </si>
  <si>
    <t>Additional Support</t>
  </si>
  <si>
    <t xml:space="preserve">
Additional SI Intercept Setup (price per intercept, each on a single domain or app): $500
Additional Site Intercept Support (per domain or app, includes one intercept): $2,500
Additional Survey Support (&lt;30 questions, price per survey): $1,500
Additional Survey Support (30-60 questions, price per survey): $3,000
Developer Tools Advanced Support (Must be sold in conjunction with DeveloperTools Introductory Support): $3,000
XM Directory Automations Support (price per automation): $1,000
</t>
  </si>
  <si>
    <t>$500 - $3000</t>
  </si>
  <si>
    <t>Batch user creation</t>
  </si>
  <si>
    <t>User creation of up to 1000 users</t>
  </si>
  <si>
    <t>Translation support</t>
  </si>
  <si>
    <t xml:space="preserve">
Dashboard Translation Support (price per dashboard, per language): $1,000
Survey Translation Support (price per survey, per language): $1,000</t>
  </si>
  <si>
    <t>Data migration</t>
  </si>
  <si>
    <t xml:space="preserve">Data Migration (per source, up to 50k responses each)
</t>
  </si>
  <si>
    <t>Custom Training/Demo</t>
  </si>
  <si>
    <t>Custom Training/Demo (price per 1-hour session)</t>
  </si>
  <si>
    <t>Ad-Hoc | Design and Build</t>
  </si>
  <si>
    <t xml:space="preserve">Prepping a survey for data collection by ensuring a sound design and methodology, building in Qualtrics and/or translating into other languages. </t>
  </si>
  <si>
    <t>Methodology Review and Consultation</t>
  </si>
  <si>
    <t>Qualtrics will review one (1) survey for Customer. 
Such survey review will include: 
Up to 30 questions (each individual statement in a matrix or similar format counts as a question)
Unless otherwise agreed, such survey review will not include:
Technical review or testing
Survey build or survey programming edits
Delivery Team Responsibilities:
If necessary, conduct kick-off call to discuss research objectives.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be subject to additional fees and further scoping by Qualtrics.
Provide the questionnaire in a .doc file, Google Doc, or similar format. Spreadsheet formats (.xls, Google Sheets, etc.) will be subject to additional fees and further scoping by Qualtrics.
Assumptions:
After initial survey recommendations are shared, Customer may request up to 2 rounds of iteration for review (Customer marked-up feedback on question content, response options, or logic that impacts 5 or more questions)
Estimated Timing: 3-5 business days</t>
  </si>
  <si>
    <t>Qualtrics will review one (1) survey for Customer. 
Such survey review will include: 
Up to 60 questions (each individual statement in a matrix or similar format counts as a question)
Unless otherwise agreed, such survey review will not include:
Technical review or testing
Survey build or survey programming edits
Delivery Team Responsibilities:
If necessary, conduct kick-off call to discuss research objectives.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be subject to additional fees and further scoping by Qualtrics.
Provide the questionnaire in a .doc file, Google Doc, or similar format. Spreadsheet formats (.xls, Google Sheets, etc.) will be subject to additional fees and further scoping by Qualtrics.
Assumptions:
After initial survey recommendations are shared, Customer may request up to 3 rounds of iteration for review (Customer marked-up feedback on question content, response options, or logic that impacts 5 or more questions)
Estimated Timing: 3-5 business days</t>
  </si>
  <si>
    <t>Qualtrics will review one (1) survey for Customer. 
Such survey review will include: 
Up to 100 questions (each individual statement in a matrix or similar format counts as a question)
Unless otherwise agreed, such survey review will not include:
Technical review or testing
Survey build or survey programming edits
Delivery Team Responsibilities:
If necessary, conduct kick-off call to discuss research objectives.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be subject to additional fees and further scoping by Qualtrics.
Provide the questionnaire in a .doc file, Google Doc, or similar format. Spreadsheet formats (.xls, Google Sheets, etc.) will be subject to additional fees and further scoping by Qualtrics.
Assumptions:
After initial survey recommendations are shared, Customer may request up to 4 rounds of iteration for review (Customer marked-up feedback on question content, response options, or logic that impacts 5 or more questions)
Estimated Timing: 5-7 business days</t>
  </si>
  <si>
    <t>Custom quote for multiple surveys, review of a translated survey, or advanced consultation needs</t>
  </si>
  <si>
    <t>*Bundled with Reporting</t>
  </si>
  <si>
    <t>SRC-01</t>
  </si>
  <si>
    <t>SRC-02</t>
  </si>
  <si>
    <t>SRC-03</t>
  </si>
  <si>
    <t>SRC-04</t>
  </si>
  <si>
    <t>Includes design and programming for:
1 survey in English
Up to 30 questions or elements (Embedded Data, hidden variables, individual statements in a matrix or similar format)
Light survey flow logic (fewer than 10 survey flow elements such as randomizers and branches)
Up to 2 rounds of iteration for design (one round of customer marked-up feedback on question content, response options, or logic that impacts 5 or more questions)
Assumptions:
After the Qualtrics test link is shared, the customer may request up to a total of 2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No manual implementation of customer-provided translations is included.
Estimated Timing: ~4 weeks (1 week for design, 1 week for client review, 1 week for programming, 1 week for client review)</t>
  </si>
  <si>
    <t>Includes design and programming for:
1 survey in English
Up to 60 questions or elements (Embedded Data, hidden variables, individual statements in a matrix or similar format)
Moderate survey flow logic (fewer than 50 survey flow elements such as randomizers and branches)
Up to 3 rounds of iteration for design (one round of customer marked-up feedback on question content, response options, or logic that impacts 5 or more questions)
Assumptions:
After the Qualtrics test link is shared, the customer may request up to a total of 3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No manual implementation of customer-provided translations is included.
Estimated Timing: ~4 weeks (1 week for design, 1 week for client review, 1 week for programming, 1 week for client review)</t>
  </si>
  <si>
    <t>Includes design and programming for:
1 survey in English
Up to 100 questions or elements (Embedded Data, hidden variables, individual statements in a matrix or similar format)
Heavy survey flow logic (fewer than 100 survey flow elements such as randomizers and branches)
Up to 4 rounds of iteration for design (one round of customer marked-up feedback on question content, response options, or logic that impacts 5 or more questions)
Assumptions:
After the Qualtrics test link is shared, the customer may request up to a total of 4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No manual implementation of customer-provided translations is included.
Estimated Timing: ~5 weeks (1 week for design, 1 week for client review, 2 weeks for programming, 1 week for client review)</t>
  </si>
  <si>
    <t>Custom quote for survey with over 100 questions or elements, email or other triggers built in, advanced coding (javascript, API calls, HTML, etc.), multiple surveys, advanced analytics (MaxDiff, etc.)</t>
  </si>
  <si>
    <t>SDB-01</t>
  </si>
  <si>
    <t>SDB-02</t>
  </si>
  <si>
    <t>SDB-03</t>
  </si>
  <si>
    <t>SDB-04</t>
  </si>
  <si>
    <t>Survey Design (without Build)</t>
  </si>
  <si>
    <r>
      <rPr>
        <rFont val="Arial"/>
        <color rgb="FF000000"/>
        <sz val="12.0"/>
      </rPr>
      <t xml:space="preserve">Includes design for: 
1 survey in English
</t>
    </r>
    <r>
      <rPr>
        <rFont val="Arial"/>
        <b/>
        <color rgb="FF000000"/>
        <sz val="12.0"/>
      </rPr>
      <t>Up to 30 questions or elements</t>
    </r>
    <r>
      <rPr>
        <rFont val="Arial"/>
        <color rgb="FF000000"/>
        <sz val="12.0"/>
      </rPr>
      <t xml:space="preserve"> (Embedded Data, hidden variables, individual statements in a matrix or similar format)
</t>
    </r>
    <r>
      <rPr>
        <rFont val="Arial"/>
        <b/>
        <color rgb="FF000000"/>
        <sz val="12.0"/>
      </rPr>
      <t>Light survey flow logic</t>
    </r>
    <r>
      <rPr>
        <rFont val="Arial"/>
        <color rgb="FF000000"/>
        <sz val="12.0"/>
      </rPr>
      <t xml:space="preserve"> (fewer than 10 survey flow elements such as randomizers, blocks, and branches) noted in document 
Up to 2 rounds of iteration (one round of customer marked-up feedback on question content, response options, or logic that impacts 5 or more questions)
Estimated Timing: ~2 weeks (1 week for design, 1 week for client review)</t>
    </r>
  </si>
  <si>
    <r>
      <rPr>
        <rFont val="Arial"/>
        <color rgb="FF000000"/>
        <sz val="12.0"/>
      </rPr>
      <t xml:space="preserve">Includes design for: 
1 survey in English
</t>
    </r>
    <r>
      <rPr>
        <rFont val="Arial"/>
        <b/>
        <color rgb="FF000000"/>
        <sz val="12.0"/>
      </rPr>
      <t xml:space="preserve">Up to 60 questions or elements </t>
    </r>
    <r>
      <rPr>
        <rFont val="Arial"/>
        <color rgb="FF000000"/>
        <sz val="12.0"/>
      </rPr>
      <t xml:space="preserve">(Embedded Data, hidden variables, individual statements in a matrix or similar format)
</t>
    </r>
    <r>
      <rPr>
        <rFont val="Arial"/>
        <b/>
        <color rgb="FF000000"/>
        <sz val="12.0"/>
      </rPr>
      <t xml:space="preserve">Moderate survey flow logic </t>
    </r>
    <r>
      <rPr>
        <rFont val="Arial"/>
        <color rgb="FF000000"/>
        <sz val="12.0"/>
      </rPr>
      <t>(fewer than 50 survey flow elements such as randomizers, blocks, and branches) noted in document 
Up to 3 rounds of iteration (one round of customer marked-up feedback on question content, response options, or logic that impacts 5 or more questions)
Estimated Timing: ~2 weeks (1 week for design, 1 week for client review)</t>
    </r>
  </si>
  <si>
    <r>
      <rPr>
        <rFont val="Arial"/>
        <color rgb="FF000000"/>
        <sz val="12.0"/>
      </rPr>
      <t xml:space="preserve">Includes design for: 
1 survey in English
</t>
    </r>
    <r>
      <rPr>
        <rFont val="Arial"/>
        <b/>
        <color rgb="FF000000"/>
        <sz val="12.0"/>
      </rPr>
      <t xml:space="preserve">Up to 100 questions or elements </t>
    </r>
    <r>
      <rPr>
        <rFont val="Arial"/>
        <color rgb="FF000000"/>
        <sz val="12.0"/>
      </rPr>
      <t xml:space="preserve">(Embedded Data, hidden variables, individual statements in a matrix or similar format)
</t>
    </r>
    <r>
      <rPr>
        <rFont val="Arial"/>
        <b/>
        <color rgb="FF000000"/>
        <sz val="12.0"/>
      </rPr>
      <t>Heavy survey flow logic</t>
    </r>
    <r>
      <rPr>
        <rFont val="Arial"/>
        <color rgb="FF000000"/>
        <sz val="12.0"/>
      </rPr>
      <t xml:space="preserve"> (fewer than 100 survey flow elements such as randomizers, blocks, and branches) noted in document 
Up to 4 rounds of iteration (one round of customer marked-up feedback on question content, response options, or logic that impacts 5 or more questions)
Estimated Timing: ~2 weeks (1 week for design, 1 week for client review)</t>
    </r>
  </si>
  <si>
    <t>Custom quote for survey with over 100 questions or elements, email or other triggers built in, advanced coding (javascript, API calls, HTML, etc.), multiple surveys.</t>
  </si>
  <si>
    <t>DIY available in Qualtrics</t>
  </si>
  <si>
    <r>
      <rPr>
        <rFont val="Arial"/>
        <color rgb="FF000000"/>
        <sz val="12.0"/>
      </rPr>
      <t xml:space="preserve">Includes programming for:
1 survey in English
</t>
    </r>
    <r>
      <rPr>
        <rFont val="Arial"/>
        <b/>
        <color rgb="FF000000"/>
        <sz val="12.0"/>
      </rPr>
      <t>Up to 30 questions or elements</t>
    </r>
    <r>
      <rPr>
        <rFont val="Arial"/>
        <color rgb="FF000000"/>
        <sz val="12.0"/>
      </rPr>
      <t xml:space="preserve"> (Embedded Data, hidden variables, individual statements in a matrix or similar format)
</t>
    </r>
    <r>
      <rPr>
        <rFont val="Arial"/>
        <b/>
        <color rgb="FF000000"/>
        <sz val="12.0"/>
      </rPr>
      <t xml:space="preserve">Light display and skip logic </t>
    </r>
    <r>
      <rPr>
        <rFont val="Arial"/>
        <color rgb="FF000000"/>
        <sz val="12.0"/>
      </rPr>
      <t xml:space="preserve">(less than 20% of survey)
Up to 5 image or video files, inserted 1-2 times each within the survey
</t>
    </r>
    <r>
      <rPr>
        <rFont val="Arial"/>
        <b/>
        <color rgb="FF000000"/>
        <sz val="12.0"/>
      </rPr>
      <t>Light survey flow logic</t>
    </r>
    <r>
      <rPr>
        <rFont val="Arial"/>
        <color rgb="FF000000"/>
        <sz val="12.0"/>
      </rPr>
      <t xml:space="preserve"> (fewer than 10 survey flow elements such as randomizers and branches)
Does NOT include:
Manual implementation of customer-provided translations
Programming of typing tools
Custom scoring
Set up of quotas, redirects, panel connections, email messages, or distributions
Assumptions:
The customer is responsible for providing a fully written out questionnaire, including demographics and screener questions. Bullets or partially written questions will require design services and an additional cost.
The provided documentation includes all questions, response options, logic requirements, and validation instructions (items not specified are not guaranteed to be within project scope).
There will be no significant changes to the questionnaire or project requirements before or during the project. (Additional changes or significant back and forth may increase the cost and extend the timeline.)
After the Qualtrics test link is shared, the customer may request up to a total of 2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Estimated Timing: 3-5 business days after finalized questionnaire is provided</t>
    </r>
  </si>
  <si>
    <r>
      <rPr>
        <rFont val="Arial"/>
        <color rgb="FF000000"/>
        <sz val="12.0"/>
      </rPr>
      <t xml:space="preserve">Includes programming for:
1 survey in English
</t>
    </r>
    <r>
      <rPr>
        <rFont val="Arial"/>
        <b/>
        <color rgb="FF000000"/>
        <sz val="12.0"/>
      </rPr>
      <t>Up to 60 questions or elements</t>
    </r>
    <r>
      <rPr>
        <rFont val="Arial"/>
        <color rgb="FF000000"/>
        <sz val="12.0"/>
      </rPr>
      <t xml:space="preserve"> (Embedded Data, hidden variables, individual statements in a matrix or similar format)
</t>
    </r>
    <r>
      <rPr>
        <rFont val="Arial"/>
        <b/>
        <color rgb="FF000000"/>
        <sz val="12.0"/>
      </rPr>
      <t>Moderate display and skip logic</t>
    </r>
    <r>
      <rPr>
        <rFont val="Arial"/>
        <color rgb="FF000000"/>
        <sz val="12.0"/>
      </rPr>
      <t xml:space="preserve"> (less than 50%)
Up to 10 image or video files, inserted 1-2 times each within the survey
</t>
    </r>
    <r>
      <rPr>
        <rFont val="Arial"/>
        <b/>
        <color rgb="FF000000"/>
        <sz val="12.0"/>
      </rPr>
      <t>Moderate survey flow logic</t>
    </r>
    <r>
      <rPr>
        <rFont val="Arial"/>
        <color rgb="FF000000"/>
        <sz val="12.0"/>
      </rPr>
      <t xml:space="preserve"> (fewer than 50 survey flow elements such as randomizers and branches)
Does NOT include:
Manual implementation of customer-provided translations
Programming of typing tools
Custom scoring
Set up of quotas, redirects, panel connections, email messages, or distributions
Assumptions:
The customer is responsible for providing a fully written out questionnaire, including demographics and screener questions. Bullets or partially written questions will require design services and an additional cost.
The provided documentation includes all questions, response options, logic requirements, and validation instructions (items not specified are not guaranteed to be within project scope).
There will be no significant changes to the questionnaire or project requirements before or during the project. (Additional changes or significant back and forth may increase the cost and extend the timeline.)
After the Qualtrics test link is shared, the customer may request up to a total of 3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Estimated Timing: 5-7 business days after finalized questionnaire is provided</t>
    </r>
  </si>
  <si>
    <r>
      <rPr>
        <rFont val="Arial"/>
        <color rgb="FF000000"/>
        <sz val="12.0"/>
      </rPr>
      <t xml:space="preserve">Includes programming for:
1 survey in English
</t>
    </r>
    <r>
      <rPr>
        <rFont val="Arial"/>
        <b/>
        <color rgb="FF000000"/>
        <sz val="12.0"/>
      </rPr>
      <t>Up to 100 questions or elements</t>
    </r>
    <r>
      <rPr>
        <rFont val="Arial"/>
        <color rgb="FF000000"/>
        <sz val="12.0"/>
      </rPr>
      <t xml:space="preserve"> (Embedded Data, hidden variables, individual statements in a matrix or similar format)
</t>
    </r>
    <r>
      <rPr>
        <rFont val="Arial"/>
        <b/>
        <color rgb="FF000000"/>
        <sz val="12.0"/>
      </rPr>
      <t xml:space="preserve">Moderate display and skip logic </t>
    </r>
    <r>
      <rPr>
        <rFont val="Arial"/>
        <color rgb="FF000000"/>
        <sz val="12.0"/>
      </rPr>
      <t xml:space="preserve">(less than 50%)
Up to 12 image or video files, inserted 1-2 times each within the survey
</t>
    </r>
    <r>
      <rPr>
        <rFont val="Arial"/>
        <b/>
        <color rgb="FF000000"/>
        <sz val="12.0"/>
      </rPr>
      <t>Heavy survey flow logic</t>
    </r>
    <r>
      <rPr>
        <rFont val="Arial"/>
        <color rgb="FF000000"/>
        <sz val="12.0"/>
      </rPr>
      <t xml:space="preserve"> (fewer than 100 survey flow elements such as randomizers and branches)
Does NOT include:
Manual implementation of customer-provided translations
Programming of typing tools
Custom scoring
Set up of quotas, redirects, panel connections, email messages, or distributions
Assumptions:
The customer is responsible for providing a fully written out questionnaire, including demographics and screener questions. Bullets or partially written questions will require design services and an additional cost.
The provided documentation includes all questions, response options, logic requirements, and validation instructions (items not specified are not guaranteed to be within project scope).
There will be no significant changes to the questionnaire or project requirements before or during the project. (Additional changes or significant back and forth may increase the cost and extend the timeline.)
After the Qualtrics test link is shared, the customer may request up to a total of 4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Estimated Timing: 7-10 business days after finalized questionnaire is provided</t>
    </r>
  </si>
  <si>
    <t>Custom quote for survey with over 100 questions or elements, email or other triggers built in, advanced coding (javascript, API calls, etc.), multiple surveys.</t>
  </si>
  <si>
    <t>https://www.qualtrics.com/support/survey-platform/survey-module/survey-module-overview/</t>
  </si>
  <si>
    <t>SBU-01</t>
  </si>
  <si>
    <t>SBU-02</t>
  </si>
  <si>
    <t>SBU-03</t>
  </si>
  <si>
    <t>Anglicization (per word) and no link check.
Tier 1 Languages:
UK English
Assumptions:
English is the source language.</t>
  </si>
  <si>
    <t>Translation per word and link check for the languages below
Tier 2 Languages:
Chinese Simplified
Chinese Traditional
Czech
French CA
French EU
French-CA
German
Greek
Hungarian
Italian
Polish
Portuguese (BZ)
Portuguese (EU) 
Russian
Slovak
Slovenian
Spanish (EU)
Spanish Mexican
Spanish Universal
Assumptions:
English is the source language.</t>
  </si>
  <si>
    <t>Translation per word and link check for the languages below
Tier 3 Languages:
All other languages not in Tier 1 or Tier 2. Some more common ones include:
Arabic
Croatian
Danish
Dutch
Filipino
Hebrew
Hindi
Indonesian
Japanese 
Norwegian
Thai
Turkish
Urdu
Vietnamese
Assumptions:
English is the source language.</t>
  </si>
  <si>
    <t>Custom quote required if the survey has many embedded data or highlighters which require translation, materials of than the survey require translation, or other abnormal asks.</t>
  </si>
  <si>
    <t>Note: all costs assume English into the language. If translating a foreign language into English, add 8 cents/word</t>
  </si>
  <si>
    <t>$0.14/word</t>
  </si>
  <si>
    <t>$0.53/word + $125 per 2500 words (or parts thereof)</t>
  </si>
  <si>
    <t>$0.63/word + $150 per 2500 words (or parts thereof)</t>
  </si>
  <si>
    <t>TFE-01</t>
  </si>
  <si>
    <t>TFE-02</t>
  </si>
  <si>
    <t>TFE-03</t>
  </si>
  <si>
    <t>TFE-04</t>
  </si>
  <si>
    <r>
      <rPr>
        <rFont val="Arial"/>
        <color rgb="FF000000"/>
        <sz val="12.0"/>
      </rPr>
      <t xml:space="preserve">Includes programming for 1 typing tool, consisting of:
1 model
</t>
    </r>
    <r>
      <rPr>
        <rFont val="Arial"/>
        <b/>
        <color rgb="FF000000"/>
        <sz val="12.0"/>
      </rPr>
      <t>Up to 6 segments
Up to 20 input variables</t>
    </r>
    <r>
      <rPr>
        <rFont val="Arial"/>
        <color rgb="FF000000"/>
        <sz val="12.0"/>
      </rPr>
      <t xml:space="preserve">
No additional processing steps outside of standard segment calculation (variable recoding, segment value calculation, probability calculation, and finding maximum for segment assignment)
Assumptions:
Model uses linear discriminant analysis consisting of coefficients per segmentation variable and segment, as well as probability calculations. Any tool with different output from this will require additional scoping and costs.
Timing Estimate: 3-5 business days</t>
    </r>
  </si>
  <si>
    <r>
      <rPr>
        <rFont val="Arial"/>
        <color rgb="FF000000"/>
        <sz val="12.0"/>
      </rPr>
      <t xml:space="preserve">Includes programming for 1 typing tool, consisting of:
1 model
</t>
    </r>
    <r>
      <rPr>
        <rFont val="Arial"/>
        <b/>
        <color rgb="FF000000"/>
        <sz val="12.0"/>
      </rPr>
      <t>Up to 10 segments
Up to 40 input variables</t>
    </r>
    <r>
      <rPr>
        <rFont val="Arial"/>
        <color rgb="FF000000"/>
        <sz val="12.0"/>
      </rPr>
      <t xml:space="preserve">
Up to 3 additional processing steps outside of standard segment calculation (variable recoding, segment value calculation, probability calculation, and finding maximum for segment assignment)
Assumptions:
Model uses linear discriminant analysis consisting of coefficients per segmentation variable and segment, as well as probability calculations. Any tool with different output from this will require additional scoping and costs.
Timing Estimate: 5-7 business days</t>
    </r>
  </si>
  <si>
    <t>Custom quote required if:
Multiple models
More than 10 segments
More than 50 input variables
Many additional post segment processing steps</t>
  </si>
  <si>
    <t>TTP-01</t>
  </si>
  <si>
    <t>TTP-02</t>
  </si>
  <si>
    <t>TTP-04</t>
  </si>
  <si>
    <t>Data Migration</t>
  </si>
  <si>
    <t>Migration of data from a previous survey or other data source.
File requirements: 
Migration file must be in a flat file format (CSV, TSV)
There must be one response per row, and all of the information about the respondent must be contained in only that row (one respondent's information cannot be in multiple rows). 
All non-open end data is provided in numeric format (e.g., Male = 1, Female = 2).
There must be mapping file included (a detailed survey doc that aligns with the file fields works)</t>
  </si>
  <si>
    <t>XFC</t>
  </si>
  <si>
    <t>Ad-Hoc | Reporting &amp; Analytics</t>
  </si>
  <si>
    <t>Any work required by our clients post-data collection to ensure the data is digestible and actionable.  This work typically include scrubbing the data for quality, coding open-end text responses, delivering data tables/cross-tabs, or building a report or dashboard.</t>
  </si>
  <si>
    <t>Tier 3 - Complex</t>
  </si>
  <si>
    <t>Data Processing &amp; Reporting</t>
  </si>
  <si>
    <r>
      <rPr>
        <rFont val="Arial"/>
        <color rgb="FF000000"/>
        <sz val="12.0"/>
      </rPr>
      <t>Qualtrics will weight the response data for one (1) Customer survey.
Such weighting will include:
Simple weighting only. There will be no imputation, like hot decking. Hot deck imputation is a method for handling missing data in which each missing value is replaced with an observed response from a "similar" unit. Qualtrics performs raked weighting (or RIM weighting) or interlocked weighting (as cell-based or static weighting).
Up to</t>
    </r>
    <r>
      <rPr>
        <rFont val="Arial"/>
        <b/>
        <color rgb="FF000000"/>
        <sz val="12.0"/>
      </rPr>
      <t xml:space="preserve"> 6 dimensions</t>
    </r>
    <r>
      <rPr>
        <rFont val="Arial"/>
        <color rgb="FF000000"/>
        <sz val="12.0"/>
      </rPr>
      <t xml:space="preserve"> (an interlocked example of 6 dimensions, targeting 2 overlapping variables: male 18-34, female 18-34, male 35-54, female 35-54, male 55+, female 55+).
</t>
    </r>
    <r>
      <rPr>
        <rFont val="Arial"/>
        <b/>
        <color rgb="FF000000"/>
        <sz val="12.0"/>
      </rPr>
      <t>1 dataset</t>
    </r>
    <r>
      <rPr>
        <rFont val="Arial"/>
        <color rgb="FF000000"/>
        <sz val="12.0"/>
      </rPr>
      <t xml:space="preserve">: Qualtrics will not combine multiple datasets or projects. If the Customer wants to combine the datasets or projects, they must do so themselves, and in a way that will work for the selected weighting scheme. The Customer is responsible for ensuring that the combined dataset will operate correctly in the Qualtrics platform. 
</t>
    </r>
    <r>
      <rPr>
        <rFont val="Arial"/>
        <b/>
        <color rgb="FF000000"/>
        <sz val="12.0"/>
      </rPr>
      <t>1 application</t>
    </r>
    <r>
      <rPr>
        <rFont val="Arial"/>
        <color rgb="FF000000"/>
        <sz val="12.0"/>
      </rPr>
      <t xml:space="preserve">: Qualtrics weighting shall involve the one-time application of a single weighting scheme. Customer may request additional iterations of applied weighting schemes for an additional fee.
The weighting scheme will be applied to the dataset and cannot vary by question or be adjusted in any way by question. 
Qualtrics will not weight datasets that contain any type of MaxDiff or Conjoint exercises.
If the dataset contains multiple waves/ time series, those should be considered in the weighting scheme and as part of the dimensions listed above. A single weighting scheme shall be applied to the entire dataset (e.g., for a 3-wave project, a single weighting scheme shall be applied to wave 1, wave 2, and wave 3). Any wave-specific differences must fall within the allotted 6 dimensions (e.g., wave 1 females = 10%, wave 1 males = 15%; wave 2 females = 25%, wave 2 males = 25%; wave 3 females = 15%, wave 3 males = 10%). 
</t>
    </r>
    <r>
      <rPr>
        <rFont val="Arial"/>
        <color rgb="FF000000"/>
        <sz val="12.0"/>
        <u/>
      </rPr>
      <t>Customer Responsibilities</t>
    </r>
    <r>
      <rPr>
        <rFont val="Arial"/>
        <color rgb="FF000000"/>
        <sz val="12.0"/>
      </rPr>
      <t xml:space="preserve">:
Determine the type of weighting that applies to their needs (raked or interlocked). Should the Customer require consultation on this, Qualtrics can scope with the data science team for pricing, and advise on anticipated impact on timeline. 
Provide the weighting scheme that specifies the target distribution for each segment. 
Depending on the weighting type the Customer has selected, the Customer's weighting scheme must meet all necessary requirements for that particular weighting scheme. For example, for cell-based weighting, the target distributions for all segments should sum to 100. Missing information may impact timelines. 
Provide the base sizes for each of the weighting buckets. For example, for dimension 1, n=101; for dimension 2, n=37; for dimension 3, n=254; etc. 
</t>
    </r>
    <r>
      <rPr>
        <rFont val="Arial"/>
        <color rgb="FF000000"/>
        <sz val="12.0"/>
        <u/>
      </rPr>
      <t>Assumptions</t>
    </r>
    <r>
      <rPr>
        <rFont val="Arial"/>
        <color rgb="FF000000"/>
        <sz val="12.0"/>
      </rPr>
      <t xml:space="preserve">:
Qualtrics may choose to weight the data within or outside of the Qualtrics platform. If the data is weighted outside of the platform, the Customer may request Qualtrics to import weights for an additional fee.
If Qualtrics is conducting analysis on the weighted dataset, the data must be reimported into Qualtrics or cross-tabs must be scoped/ purchased. Qualtrics will report on weighted results, not the unweighted results. Customer may request Qualtrics to provide both weighted and unweighted analysis, for an additional fee.
Due to randomization, skip logic/display logic, or skipped questions, there may be data that are missing by design. If the Customer wants to impute these missing data, such will be subject to additional costs and further scoping by Qualtrics.
</t>
    </r>
  </si>
  <si>
    <r>
      <rPr>
        <rFont val="Arial"/>
        <color rgb="FF000000"/>
        <sz val="12.0"/>
      </rPr>
      <t>Qualtrics will weight the response data for one (1) Customer survey.
Such weighting will include:
Simple weighting only. There will be no imputation, like hot decking. Hot deck imputation is a method for handling missing data in which each missing value is replaced with an observed response from a "similar" unit. Qualtrics performs raked weighting (or RIM weighting) or interlocked weighting (as cell-based or static weighting).
Between</t>
    </r>
    <r>
      <rPr>
        <rFont val="Arial"/>
        <b/>
        <color rgb="FF000000"/>
        <sz val="12.0"/>
      </rPr>
      <t xml:space="preserve"> 7 and 12 dimensions</t>
    </r>
    <r>
      <rPr>
        <rFont val="Arial"/>
        <color rgb="FF000000"/>
        <sz val="12.0"/>
      </rPr>
      <t xml:space="preserve"> (an interlocked example of 6 dimensions, targeting 2 overlapping variables: male 18-34, female 18-34, male 35-54, female 35-54, male 55+, female 55+).
</t>
    </r>
    <r>
      <rPr>
        <rFont val="Arial"/>
        <b/>
        <color rgb="FF000000"/>
        <sz val="12.0"/>
      </rPr>
      <t>1 dataset:</t>
    </r>
    <r>
      <rPr>
        <rFont val="Arial"/>
        <color rgb="FF000000"/>
        <sz val="12.0"/>
      </rPr>
      <t xml:space="preserve"> Qualtrics will not combine multiple datasets or projects. If the Customer wants to combine the datasets or projects, they must do so themselves, and in a way that will work for the selected weighting scheme. The Customer is responsible for ensuring that the combined dataset will operate correctly in the Qualtrics platform. 
</t>
    </r>
    <r>
      <rPr>
        <rFont val="Arial"/>
        <b/>
        <color rgb="FF000000"/>
        <sz val="12.0"/>
      </rPr>
      <t>1 application:</t>
    </r>
    <r>
      <rPr>
        <rFont val="Arial"/>
        <color rgb="FF000000"/>
        <sz val="12.0"/>
      </rPr>
      <t xml:space="preserve"> Qualtrics weighting shall involve the one-time application of a single weighting scheme. Customer may request additional iterations of applied weighting schemes for an additional fee.
The weighting scheme will be applied to the dataset and cannot vary by question or be adjusted in any way by question. 
Qualtrics will not weight datasets that contain any type of MaxDiff or Conjoint exercises.
If the dataset contains multiple waves/ time series, those should be considered in the weighting scheme and as part of the dimensions listed above. A single weighting scheme shall be applied to the entire dataset (e.g., for a 3-wave project, a single weighting scheme shall be applied to wave 1, wave 2, and wave 3). Any wave-specific differences must fall within the allotted 6 dimensions (e.g., wave 1 females = 10%, wave 1 males = 15%; wave 2 females = 25%, wave 2 males = 25%; wave 3 females = 15%, wave 3 males = 10%). 
</t>
    </r>
    <r>
      <rPr>
        <rFont val="Arial"/>
        <color rgb="FF000000"/>
        <sz val="12.0"/>
        <u/>
      </rPr>
      <t>Customer Responsibilities</t>
    </r>
    <r>
      <rPr>
        <rFont val="Arial"/>
        <color rgb="FF000000"/>
        <sz val="12.0"/>
      </rPr>
      <t xml:space="preserve">:
Determine the type of weighting that applies to their needs (raked or interlocked). Should the Customer require consultation on this, Qualtrics can scope with the data science team for pricing, and advise on anticipated impact on timeline. 
Provide the weighting scheme that specifies the target distribution for each segment. 
Depending on the weighting type the Customer has selected, the Customer's weighting scheme must meet all necessary requirements for that particular weighting scheme. For example, for cell-based weighting, the target distributions for all segments should sum to 100. Missing information may impact timelines. 
Provide the base sizes for each of the weighting buckets. For example, for dimension 1, n=101; for dimension 2, n=37; for dimension 3, n=254; etc. 
</t>
    </r>
    <r>
      <rPr>
        <rFont val="Arial"/>
        <color rgb="FF000000"/>
        <sz val="12.0"/>
        <u/>
      </rPr>
      <t>Assumptions</t>
    </r>
    <r>
      <rPr>
        <rFont val="Arial"/>
        <color rgb="FF000000"/>
        <sz val="12.0"/>
      </rPr>
      <t xml:space="preserve">:
Qualtrics may choose to weight the data within or outside of the Qualtrics platform. If the data is weighted outside of the platform, the Customer may request Qualtrics to import weights for an additional fee.
If Qualtrics is conducting analysis on the weighted dataset, the data must be reimported into Qualtrics or cross-tabs must be scoped/ purchased. Qualtrics will report on weighted results, not the unweighted results. Customer may request Qualtrics to provide both weighted and unweighted analysis, for an additional fee.
Due to randomization, skip logic/display logic, or skipped questions, there may be data that are missing by design. If the Customer wants to impute these missing data, such will be subject to additional costs and further scoping by Qualtrics.
</t>
    </r>
  </si>
  <si>
    <r>
      <rPr>
        <rFont val="Arial"/>
        <color rgb="FF000000"/>
        <sz val="12.0"/>
      </rPr>
      <t xml:space="preserve">Qualtrics will weight the response data for one (1) Customer survey.
Such weighting will include:
Simple weighting only. There will be no imputation, like hot decking. Hot deck imputation is a method for handling missing data in which each missing value is replaced with an observed response from a "similar" unit. Qualtrics performs raked weighting (or RIM weighting) or interlocked weighting (as cell-based or static weighting).
Between </t>
    </r>
    <r>
      <rPr>
        <rFont val="Arial"/>
        <b/>
        <color rgb="FF000000"/>
        <sz val="12.0"/>
      </rPr>
      <t>13 and 20 dimensions</t>
    </r>
    <r>
      <rPr>
        <rFont val="Arial"/>
        <color rgb="FF000000"/>
        <sz val="12.0"/>
      </rPr>
      <t xml:space="preserve"> (an interlocked example of 6 dimensions, targeting 2 overlapping variables: male 18-34, female 18-34, male 35-54, female 35-54, male 55+, female 55+).
</t>
    </r>
    <r>
      <rPr>
        <rFont val="Arial"/>
        <b/>
        <color rgb="FF000000"/>
        <sz val="12.0"/>
      </rPr>
      <t>1 dataset</t>
    </r>
    <r>
      <rPr>
        <rFont val="Arial"/>
        <color rgb="FF000000"/>
        <sz val="12.0"/>
      </rPr>
      <t xml:space="preserve">. Qualtrics will not combine multiple datasets or projects. If the Customer wants to combine the datasets or projects, they must do so themselves, and in a way that will work for the selected weighting scheme. The Customer is responsible for ensuring that the combined dataset will operate correctly in the Qualtrics platform. 
</t>
    </r>
    <r>
      <rPr>
        <rFont val="Arial"/>
        <b/>
        <color rgb="FF000000"/>
        <sz val="12.0"/>
      </rPr>
      <t>1 application</t>
    </r>
    <r>
      <rPr>
        <rFont val="Arial"/>
        <color rgb="FF000000"/>
        <sz val="12.0"/>
      </rPr>
      <t xml:space="preserve">: Qualtrics weighting shall involve the one-time application of a single weighting scheme. Customer may request additional iterations of applied weighting schemes for an additional fee.
The weighting scheme will be applied to the dataset, and cannot vary by question or be adjusted in any way by question. 
Qualtrics will not weight datasets that contain any type of MaxDiff or Conjoint exercises.
If the dataset contains multiple waves/ time series, those should be considered in the weighting scheme and as part of the dimensions listed above. A single weighting scheme shall be applied to the entire dataset (e.g., for a 3-wave project, a single weighting scheme shall be applied to wave 1, wave 2, and wave 3). Any wave-specific differences must fall within the allotted 6 dimensions (e.g., wave 1 females = 10%, wave 1 males = 15%; wave 2 females = 25%, wave 2 males = 25%; wave 3 females = 15%, wave 3 males = 10%). 
</t>
    </r>
    <r>
      <rPr>
        <rFont val="Arial"/>
        <color rgb="FF000000"/>
        <sz val="12.0"/>
        <u/>
      </rPr>
      <t>Customer Responsibilities</t>
    </r>
    <r>
      <rPr>
        <rFont val="Arial"/>
        <color rgb="FF000000"/>
        <sz val="12.0"/>
      </rPr>
      <t xml:space="preserve">:
Determine the type of weighting that applies to their needs (raked or interlocked). Should the Customer require consultation on this, Qualtrics can scope with the data science team for pricing, and advise on anticipated impact on timeline. 
Provide the weighting scheme that specifies the target distribution for each segment. 
Depending on the weighting type the Customer has selected, the Customer's weighting scheme must meet all necessary requirements for that particular weighting scheme. For example, for cell-based weighting, the target distributions for all segments should sum to 100. Missing information may impact timelines. 
Provide the base sizes for each of the weighting buckets. For example, for dimension 1, n=101; for dimension 2, n=37; for dimension 3, n=254; etc. 
</t>
    </r>
    <r>
      <rPr>
        <rFont val="Arial"/>
        <color rgb="FF000000"/>
        <sz val="12.0"/>
        <u/>
      </rPr>
      <t>Assumptions</t>
    </r>
    <r>
      <rPr>
        <rFont val="Arial"/>
        <color rgb="FF000000"/>
        <sz val="12.0"/>
      </rPr>
      <t xml:space="preserve">:
Qualtrics may choose to weight the data within or outside of the Qualtrics platform. If the data is weighted outside of the platform, the Customer may request Qualtrics to import weights for an additional fee.
If Qualtrics is conducting analysis on the weighted dataset, the data must be reimported into Qualtrics or cross-tabs must be scoped/ purchased. Qualtrics will report on weighted results, not the unweighted results. Customer may request Qualtrics to provide both weighted and unweighted analysis, for an additional fee.
Due to randomization, skip logic/display logic, or skipped questions, there may be data that are missing by design. If the Customer wants to impute these missing data, such will be subject to additional costs and further scoping by Qualtrics.
</t>
    </r>
  </si>
  <si>
    <t>Customer weighting on 20+ dimenstions or there is the need for multiple data sets, historical calibrations, advanced nested weights, two-step weights, three-step weights, brand assignment weights, etc.</t>
  </si>
  <si>
    <t>https://www.qualtrics.com/support/survey-platform/data-and-analysis-module/response-weighting/</t>
  </si>
  <si>
    <t>WTG-01</t>
  </si>
  <si>
    <t>WTG-02</t>
  </si>
  <si>
    <t>WTG-03</t>
  </si>
  <si>
    <t>WTG-04</t>
  </si>
  <si>
    <r>
      <rPr>
        <rFont val="Arial"/>
        <color rgb="FF000000"/>
        <sz val="12.0"/>
      </rPr>
      <t xml:space="preserve">Qualtrics will provide crosstabs for one (1) Customer survey.
Basic tables for a </t>
    </r>
    <r>
      <rPr>
        <rFont val="Arial"/>
        <b/>
        <color rgb="FF000000"/>
        <sz val="12.0"/>
      </rPr>
      <t>10 minute survey,</t>
    </r>
    <r>
      <rPr>
        <rFont val="Arial"/>
        <color rgb="FF000000"/>
        <sz val="12.0"/>
      </rPr>
      <t xml:space="preserve">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2 banners with simple banner definitions (derived from direct questions or embedded data fields), with up to 10 banner points each
</t>
    </r>
    <r>
      <rPr>
        <rFont val="Arial"/>
        <color rgb="FF000000"/>
        <sz val="12.0"/>
        <u/>
      </rPr>
      <t>Customer Responsibilities:</t>
    </r>
    <r>
      <rPr>
        <rFont val="Arial"/>
        <color rgb="FF000000"/>
        <sz val="12.0"/>
      </rPr>
      <t xml:space="preserve">
If Qualtrics is not supporting any other reporting deliverables, the Customer is expected to provide the banner plan.
If Qualtrics is supporting with reporting deliverables, Qualtrics will propose a banner plan for Customer review and approval.
</t>
    </r>
    <r>
      <rPr>
        <rFont val="Arial"/>
        <color rgb="FF000000"/>
        <sz val="12.0"/>
        <u/>
      </rPr>
      <t>Assumptions</t>
    </r>
    <r>
      <rPr>
        <rFont val="Arial"/>
        <color rgb="FF000000"/>
        <sz val="12.0"/>
      </rPr>
      <t>: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10 minutes or less (as determined by median LOI). Surveys with a median LOI of longer than 10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Estimated Timing: 2-4 business days</t>
    </r>
  </si>
  <si>
    <r>
      <rPr>
        <rFont val="Arial"/>
        <color rgb="FF000000"/>
        <sz val="12.0"/>
      </rPr>
      <t xml:space="preserve">Qualtrics will provide crosstabs for one (1) Customer survey.
Basic tables for a </t>
    </r>
    <r>
      <rPr>
        <rFont val="Arial"/>
        <b/>
        <color rgb="FF000000"/>
        <sz val="12.0"/>
      </rPr>
      <t>15 minute survey,</t>
    </r>
    <r>
      <rPr>
        <rFont val="Arial"/>
        <color rgb="FF000000"/>
        <sz val="12.0"/>
      </rPr>
      <t xml:space="preserve">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3 banners with simple banner definitions (derived from direct questions or embedded data fields), with up to 10 banner points each
</t>
    </r>
    <r>
      <rPr>
        <rFont val="Arial"/>
        <color rgb="FF000000"/>
        <sz val="12.0"/>
        <u/>
      </rPr>
      <t>Customer Responsibilities</t>
    </r>
    <r>
      <rPr>
        <rFont val="Arial"/>
        <color rgb="FF000000"/>
        <sz val="12.0"/>
      </rPr>
      <t xml:space="preserve">:
If Qualtrics is not supporting any other reporting deliverables, the Customer is expected to provide the banner plan.
If Qualtrics is supporting with reporting deliverables, Qualtrics will propose a banner plan for Customer review and approval.
</t>
    </r>
    <r>
      <rPr>
        <rFont val="Arial"/>
        <color rgb="FF000000"/>
        <sz val="12.0"/>
        <u/>
      </rPr>
      <t>Assumptions</t>
    </r>
    <r>
      <rPr>
        <rFont val="Arial"/>
        <color rgb="FF000000"/>
        <sz val="12.0"/>
      </rPr>
      <t>: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15 minutes or less (as determined by median LOI). Surveys with a median LOI of longer than 15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Estimated Timing: 3-4 business days</t>
    </r>
  </si>
  <si>
    <r>
      <rPr>
        <rFont val="Arial"/>
        <color rgb="FF000000"/>
        <sz val="12.0"/>
      </rPr>
      <t xml:space="preserve">Qualtrics will provide crosstabs for one (1) Customer survey.
Basic tables for a </t>
    </r>
    <r>
      <rPr>
        <rFont val="Arial"/>
        <b/>
        <color rgb="FF000000"/>
        <sz val="12.0"/>
      </rPr>
      <t>20 minute survey</t>
    </r>
    <r>
      <rPr>
        <rFont val="Arial"/>
        <color rgb="FF000000"/>
        <sz val="12.0"/>
      </rPr>
      <t xml:space="preserve">,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4 banners with simple banner definitions (derived from direct questions or embedded data fields), with up to 10 banner points each
</t>
    </r>
    <r>
      <rPr>
        <rFont val="Arial"/>
        <color rgb="FF000000"/>
        <sz val="12.0"/>
        <u/>
      </rPr>
      <t>Customer Responsibilities</t>
    </r>
    <r>
      <rPr>
        <rFont val="Arial"/>
        <color rgb="FF000000"/>
        <sz val="12.0"/>
      </rPr>
      <t xml:space="preserve">:
If Qualtrics is not supporting any other reporting deliverables, the Customer is expected to provide the banner plan.
If Qualtrics is supporting with reporting deliverables, Qualtrics will propose a banner plan for Customer review and approval.
</t>
    </r>
    <r>
      <rPr>
        <rFont val="Arial"/>
        <color rgb="FF000000"/>
        <sz val="12.0"/>
        <u/>
      </rPr>
      <t>Assumptions</t>
    </r>
    <r>
      <rPr>
        <rFont val="Arial"/>
        <color rgb="FF000000"/>
        <sz val="12.0"/>
      </rPr>
      <t>: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20 minutes or less (as determined by median LOI). Surveys with a median LOI of longer than 20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Estimated Timing: 5+ business days</t>
    </r>
  </si>
  <si>
    <t>Custom tables required for longer surveys, mulitple surveys, advanced table logic, multi-country with differences, above 50% change between waves, tables for appended data/customer data added after data collection, and more than 2 banners.</t>
  </si>
  <si>
    <t>m</t>
  </si>
  <si>
    <t>https://www.qualtrics.com/support/survey-platform/data-and-analysis-module/cross-tabulation/cross-tabulation-overview/</t>
  </si>
  <si>
    <t>XTB-01</t>
  </si>
  <si>
    <t>XTB-02</t>
  </si>
  <si>
    <t>XTB-03</t>
  </si>
  <si>
    <t>XTB-04</t>
  </si>
  <si>
    <r>
      <rPr>
        <rFont val="Arial"/>
        <color rgb="FF000000"/>
        <sz val="12.0"/>
      </rPr>
      <t xml:space="preserve">Qualtrics will provide one (1) report for Customer.
Such a report will include:
Up to </t>
    </r>
    <r>
      <rPr>
        <rFont val="Arial"/>
        <b/>
        <color rgb="FF000000"/>
        <sz val="12.0"/>
      </rPr>
      <t>30 slides</t>
    </r>
    <r>
      <rPr>
        <rFont val="Arial"/>
        <color rgb="FF000000"/>
        <sz val="12.0"/>
      </rPr>
      <t xml:space="preserve"> in English, covering:
- Background/methodology
- Key findings
- Support detail grouped by themes of content
- Appendix (if necessary)
</t>
    </r>
    <r>
      <rPr>
        <rFont val="Arial"/>
        <b/>
        <color rgb="FF000000"/>
        <sz val="12.0"/>
      </rPr>
      <t>1 master cut of data</t>
    </r>
    <r>
      <rPr>
        <rFont val="Arial"/>
        <color rgb="FF000000"/>
        <sz val="12.0"/>
      </rPr>
      <t xml:space="preserve"> OR </t>
    </r>
    <r>
      <rPr>
        <rFont val="Arial"/>
        <b/>
        <color rgb="FF000000"/>
        <sz val="12.0"/>
      </rPr>
      <t>1 cut of sub-segments</t>
    </r>
    <r>
      <rPr>
        <rFont val="Arial"/>
        <color rgb="FF000000"/>
        <sz val="12.0"/>
      </rPr>
      <t xml:space="preserve"> (e.g., age, gender, income), with no more than </t>
    </r>
    <r>
      <rPr>
        <rFont val="Arial"/>
        <b/>
        <color rgb="FF000000"/>
        <sz val="12.0"/>
      </rPr>
      <t xml:space="preserve">7 values </t>
    </r>
    <r>
      <rPr>
        <rFont val="Arial"/>
        <color rgb="FF000000"/>
        <sz val="12.0"/>
      </rPr>
      <t xml:space="preserve">per variable to be charted and stat tested in the report (as interesting and of note). Additional cuts can be included in cross-tabs (if purchased). 
Stat testing can be called out for up to 2 banner points of interest indicated in the headline or as a call out on the slide (e.g., banner = age and banner point = Gen Z) and compared to total respondents (e.g., 70% of respondents are aware of brand A; women are significantly more aware of brand A than men (90% vs. 50%)). Any statistical significance testing must operate under the same conditions discussed in the Crosstabs section (i.e., Qualtrics will not stat test overlapping categories). 
1 country (not multinational) 
1 dataset (no combining of multiple datasets or projects)
Targeted statistical significance testing (optional). Qualtrics will annotate statistical significance across 1 cut of sub-groups as defined/ agreed upon in the analysis plan. This could include brands, age ranges, user types, but is limited to one 'master cut'. Other statistical significance testing is available in cross-tabs (if purchased).
</t>
    </r>
    <r>
      <rPr>
        <rFont val="Arial"/>
        <color rgb="FF000000"/>
        <sz val="12.0"/>
        <u/>
      </rPr>
      <t>Unless otherwise agreed upon and accounted for in scope and timeline, such a report will not include</t>
    </r>
    <r>
      <rPr>
        <rFont val="Arial"/>
        <color rgb="FF000000"/>
        <sz val="12.0"/>
      </rPr>
      <t xml:space="preserve">:
Nested cuts (i.e., age nested within gender: male 18-34, female 18-34, etc.).
Open end coding
Cross tabs
Drivers, regression, or any advanced analytics
</t>
    </r>
    <r>
      <rPr>
        <rFont val="Arial"/>
        <color rgb="FF000000"/>
        <sz val="12.0"/>
        <u/>
      </rPr>
      <t>Delivery Team Responsibilities</t>
    </r>
    <r>
      <rPr>
        <rFont val="Arial"/>
        <color rgb="FF000000"/>
        <sz val="12.0"/>
      </rPr>
      <t xml:space="preserve">: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for up to 2 rounds of feedback revisions.
Conduct analysis and build report.
Conduct Quality Assurance (QA) on the accuracy of the data as charted/ narrative as written in the presentation to ensure it accurately reflects the detail in the agreed upon analysis plan.
Deliver report to Customer.
If requested by Customer, Qualtrics will walk through the results (in one presentation of up to 1 hour) over online call.
</t>
    </r>
    <r>
      <rPr>
        <rFont val="Arial"/>
        <color rgb="FF000000"/>
        <sz val="12.0"/>
        <u/>
      </rPr>
      <t>Customer Responsibilities</t>
    </r>
    <r>
      <rPr>
        <rFont val="Arial"/>
        <color rgb="FF000000"/>
        <sz val="12.0"/>
      </rPr>
      <t xml:space="preserve">: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t>
    </r>
    <r>
      <rPr>
        <rFont val="Arial"/>
        <color rgb="FF000000"/>
        <sz val="12.0"/>
        <u/>
      </rPr>
      <t>Assumptions</t>
    </r>
    <r>
      <rPr>
        <rFont val="Arial"/>
        <color rgb="FF000000"/>
        <sz val="12.0"/>
      </rPr>
      <t>: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Estimated Timing: 10-12 business days
`</t>
    </r>
  </si>
  <si>
    <r>
      <rPr>
        <rFont val="Arial"/>
        <color rgb="FF000000"/>
        <sz val="12.0"/>
      </rPr>
      <t xml:space="preserve">Qualtrics will provide one (1) report for Customer.
Such a report will include:
Up to </t>
    </r>
    <r>
      <rPr>
        <rFont val="Arial"/>
        <b/>
        <color rgb="FF000000"/>
        <sz val="12.0"/>
      </rPr>
      <t>50 slides</t>
    </r>
    <r>
      <rPr>
        <rFont val="Arial"/>
        <color rgb="FF000000"/>
        <sz val="12.0"/>
      </rPr>
      <t xml:space="preserve"> in English, covering:
- Background/methodology
- Key findings
- Support detail grouped by themes of content
- Appendix (if necessary)
Up to </t>
    </r>
    <r>
      <rPr>
        <rFont val="Arial"/>
        <b/>
        <color rgb="FF000000"/>
        <sz val="12.0"/>
      </rPr>
      <t>2 master cuts of data</t>
    </r>
    <r>
      <rPr>
        <rFont val="Arial"/>
        <color rgb="FF000000"/>
        <sz val="12.0"/>
      </rPr>
      <t xml:space="preserve"> or sub-segments (e.g., age, gender, income), with no more than </t>
    </r>
    <r>
      <rPr>
        <rFont val="Arial"/>
        <b/>
        <color rgb="FF000000"/>
        <sz val="12.0"/>
      </rPr>
      <t>7 values</t>
    </r>
    <r>
      <rPr>
        <rFont val="Arial"/>
        <color rgb="FF000000"/>
        <sz val="12.0"/>
      </rPr>
      <t xml:space="preserve"> per variable to be charted and stat tested in the report (as interesting and of note). Additional cuts may be included in the cross-tabs.
Up to </t>
    </r>
    <r>
      <rPr>
        <rFont val="Arial"/>
        <b/>
        <color rgb="FF000000"/>
        <sz val="12.0"/>
      </rPr>
      <t xml:space="preserve">2 banner points of interest </t>
    </r>
    <r>
      <rPr>
        <rFont val="Arial"/>
        <color rgb="FF000000"/>
        <sz val="12.0"/>
      </rPr>
      <t xml:space="preserve">indicated in the headline or as a call out on the slide (e.g., banner = age and banner point = Gen Z) and compared to total respondents
</t>
    </r>
    <r>
      <rPr>
        <rFont val="Arial"/>
        <b/>
        <color rgb="FF000000"/>
        <sz val="12.0"/>
      </rPr>
      <t>1 country</t>
    </r>
    <r>
      <rPr>
        <rFont val="Arial"/>
        <color rgb="FF000000"/>
        <sz val="12.0"/>
      </rPr>
      <t xml:space="preserve"> (not multinational)
</t>
    </r>
    <r>
      <rPr>
        <rFont val="Arial"/>
        <b/>
        <color rgb="FF000000"/>
        <sz val="12.0"/>
      </rPr>
      <t>1 dataset</t>
    </r>
    <r>
      <rPr>
        <rFont val="Arial"/>
        <color rgb="FF000000"/>
        <sz val="12.0"/>
      </rPr>
      <t xml:space="preserve"> (no combining of multiple datasets or projects)
Targeted statistical significance testing (optional). Qualtrics will annotate statistical significance across 21 cuts of sub-groups as defined/ agreed upon in the analysis plan. This could include brands, age ranges, user types, but is limited to one 'master cut'. Other statistical significance testing is available in cross-tabs.
</t>
    </r>
    <r>
      <rPr>
        <rFont val="Arial"/>
        <color rgb="FF000000"/>
        <sz val="12.0"/>
        <u/>
      </rPr>
      <t>Unless otherwise agreed, such a report will not include</t>
    </r>
    <r>
      <rPr>
        <rFont val="Arial"/>
        <color rgb="FF000000"/>
        <sz val="12.0"/>
      </rPr>
      <t xml:space="preserve">:
Nested cuts (i.e., age nested within gender: male 18-34, female 18-34, etc.)
Open end coding
Cross tabs
Drivers, regression, or any advanced analytics
</t>
    </r>
    <r>
      <rPr>
        <rFont val="Arial"/>
        <color rgb="FF000000"/>
        <sz val="12.0"/>
        <u/>
      </rPr>
      <t>Delivery Team Responsibilities</t>
    </r>
    <r>
      <rPr>
        <rFont val="Arial"/>
        <color rgb="FF000000"/>
        <sz val="12.0"/>
      </rPr>
      <t xml:space="preserve">: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as necessary.
Conduct analysis and build report.
Conduct Quality Assurance (QA) on the report.
Deliver report to Customer.
If requested by Customer, Qualtrics will walk through the results (in one presentation of up to 1 hour) over online call.
</t>
    </r>
    <r>
      <rPr>
        <rFont val="Arial"/>
        <color rgb="FF000000"/>
        <sz val="12.0"/>
        <u/>
      </rPr>
      <t>Customer Responsibilities</t>
    </r>
    <r>
      <rPr>
        <rFont val="Arial"/>
        <color rgb="FF000000"/>
        <sz val="12.0"/>
      </rPr>
      <t xml:space="preserve">: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t>
    </r>
    <r>
      <rPr>
        <rFont val="Arial"/>
        <color rgb="FF000000"/>
        <sz val="12.0"/>
        <u/>
      </rPr>
      <t>Assumptions</t>
    </r>
    <r>
      <rPr>
        <rFont val="Arial"/>
        <color rgb="FF000000"/>
        <sz val="12.0"/>
      </rPr>
      <t xml:space="preserve">: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Estimated Timing: 12-15 business days
</t>
    </r>
  </si>
  <si>
    <r>
      <rPr>
        <rFont val="Arial"/>
        <color rgb="FF000000"/>
        <sz val="12.0"/>
      </rPr>
      <t xml:space="preserve">Qualtrics will provide one (1) report for Customer.
Such a report will include:
Up to </t>
    </r>
    <r>
      <rPr>
        <rFont val="Arial"/>
        <b/>
        <color rgb="FF000000"/>
        <sz val="12.0"/>
      </rPr>
      <t>70 slides</t>
    </r>
    <r>
      <rPr>
        <rFont val="Arial"/>
        <color rgb="FF000000"/>
        <sz val="12.0"/>
      </rPr>
      <t xml:space="preserve"> in English, covering:
- Background/methodology
- Key findings
- Support detail grouped by themes of content
- Appendix (if necessary)
Up to </t>
    </r>
    <r>
      <rPr>
        <rFont val="Arial"/>
        <b/>
        <color rgb="FF000000"/>
        <sz val="12.0"/>
      </rPr>
      <t>3 master cuts of data</t>
    </r>
    <r>
      <rPr>
        <rFont val="Arial"/>
        <color rgb="FF000000"/>
        <sz val="12.0"/>
      </rPr>
      <t xml:space="preserve"> or sub-segments (e.g., age, gender, income), with </t>
    </r>
    <r>
      <rPr>
        <rFont val="Arial"/>
        <b/>
        <color rgb="FF000000"/>
        <sz val="12.0"/>
      </rPr>
      <t>no more than 7 values</t>
    </r>
    <r>
      <rPr>
        <rFont val="Arial"/>
        <color rgb="FF000000"/>
        <sz val="12.0"/>
      </rPr>
      <t xml:space="preserve"> per variable to be charted and stat tested in the report (as interesting and of note). Additional cuts may be included in the cross-tabs.
</t>
    </r>
    <r>
      <rPr>
        <rFont val="Arial"/>
        <b/>
        <color rgb="FF000000"/>
        <sz val="12.0"/>
      </rPr>
      <t>1 country</t>
    </r>
    <r>
      <rPr>
        <rFont val="Arial"/>
        <color rgb="FF000000"/>
        <sz val="12.0"/>
      </rPr>
      <t xml:space="preserve"> (not multinational)
</t>
    </r>
    <r>
      <rPr>
        <rFont val="Arial"/>
        <b/>
        <color rgb="FF000000"/>
        <sz val="12.0"/>
      </rPr>
      <t>1 dataset</t>
    </r>
    <r>
      <rPr>
        <rFont val="Arial"/>
        <color rgb="FF000000"/>
        <sz val="12.0"/>
      </rPr>
      <t xml:space="preserve"> (no combining of multiple datasets or projects)
Targeted statistical significance testing (optional). Qualtrics will annotate statistical significance across </t>
    </r>
    <r>
      <rPr>
        <rFont val="Arial"/>
        <b/>
        <color rgb="FF000000"/>
        <sz val="12.0"/>
      </rPr>
      <t>3 cuts of sub-groups</t>
    </r>
    <r>
      <rPr>
        <rFont val="Arial"/>
        <color rgb="FF000000"/>
        <sz val="12.0"/>
      </rPr>
      <t xml:space="preserve"> as defined/ agreed upon in the analysis plan. This could include brands, age ranges, user types, but is limited to one 'master cut'. Other statistical significance testing is available in cross-tabs.
</t>
    </r>
    <r>
      <rPr>
        <rFont val="Arial"/>
        <color rgb="FF000000"/>
        <sz val="12.0"/>
        <u/>
      </rPr>
      <t>Unless otherwise agreed, such a report will not include</t>
    </r>
    <r>
      <rPr>
        <rFont val="Arial"/>
        <color rgb="FF000000"/>
        <sz val="12.0"/>
      </rPr>
      <t xml:space="preserve">:
Nested cuts (i.e., age nested within gender: male 18-34, female 18-34, etc.)
Open end coding
Cross tabs
Drivers, regression, or any advanced analytics
</t>
    </r>
    <r>
      <rPr>
        <rFont val="Arial"/>
        <color rgb="FF000000"/>
        <sz val="12.0"/>
        <u/>
      </rPr>
      <t>Delivery Team Responsibilities</t>
    </r>
    <r>
      <rPr>
        <rFont val="Arial"/>
        <color rgb="FF000000"/>
        <sz val="12.0"/>
      </rPr>
      <t xml:space="preserve">: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as necessary.
Conduct analysis and build report.
Conduct Quality Assurance (QA) on the report.
Deliver report to Customer.
If requested by Customer, Qualtrics will walk through the results (in one presentation of up to 1 hour) over online call.
</t>
    </r>
    <r>
      <rPr>
        <rFont val="Arial"/>
        <color rgb="FF000000"/>
        <sz val="12.0"/>
        <u/>
      </rPr>
      <t>Customer Responsibilities</t>
    </r>
    <r>
      <rPr>
        <rFont val="Arial"/>
        <color rgb="FF000000"/>
        <sz val="12.0"/>
      </rPr>
      <t xml:space="preserve">: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t>
    </r>
    <r>
      <rPr>
        <rFont val="Arial"/>
        <color rgb="FF000000"/>
        <sz val="12.0"/>
        <u/>
      </rPr>
      <t>Assumptions</t>
    </r>
    <r>
      <rPr>
        <rFont val="Arial"/>
        <color rgb="FF000000"/>
        <sz val="12.0"/>
      </rPr>
      <t>: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Estimated time: 14-18 business days</t>
    </r>
  </si>
  <si>
    <t>Custom reporting for additional slides, addition cuts or nested cuts, custom stat testing needs, additional drivers, combining data from 3+ projects, non-traditional formats, etc.</t>
  </si>
  <si>
    <t>https://www.qualtrics.com/support/survey-platform/reports-module/results-section/reports-overview/</t>
  </si>
  <si>
    <t>*Bundled with Review OR Design / Build</t>
  </si>
  <si>
    <t>REP-01</t>
  </si>
  <si>
    <t>REP-02</t>
  </si>
  <si>
    <t>REP-03</t>
  </si>
  <si>
    <t>REP-04</t>
  </si>
  <si>
    <t>Executive Summary</t>
  </si>
  <si>
    <r>
      <rPr>
        <rFont val="Arial"/>
        <strike/>
        <color rgb="FF000000"/>
        <sz val="12.0"/>
      </rPr>
      <t xml:space="preserve">1 report, including: 
</t>
    </r>
    <r>
      <rPr>
        <rFont val="Arial"/>
        <b/>
        <strike/>
        <color rgb="FF000000"/>
        <sz val="12.0"/>
      </rPr>
      <t>Up to 10 slides in English</t>
    </r>
    <r>
      <rPr>
        <rFont val="Arial"/>
        <strike/>
        <color rgb="FF000000"/>
        <sz val="12.0"/>
      </rPr>
      <t xml:space="preserve">
Key findings
1 cut of data or sub-segments
1 country (not multi-national)
1 dataset (no combining of multiple datasets or projects)
Stat testing available
Assumptions:
</t>
    </r>
    <r>
      <rPr>
        <rFont val="Arial"/>
        <b/>
        <strike/>
        <color rgb="FF000000"/>
        <sz val="12.0"/>
      </rPr>
      <t>Client provides an outline of slides they want included</t>
    </r>
    <r>
      <rPr>
        <rFont val="Arial"/>
        <strike/>
        <color rgb="FF000000"/>
        <sz val="12.0"/>
      </rPr>
      <t xml:space="preserve"> (NPS, imagery statements, brand funnel, etc.)
Does not include drivers or any advanced analytics
Does not include open end coding
Report will be provided as a .ppt using a Qualtrics template
Report requires purchase of either Survey Design or Survey Review and Consultation.
Estimated Timing: 5-7 business days</t>
    </r>
  </si>
  <si>
    <r>
      <rPr>
        <rFont val="Arial"/>
        <strike/>
        <color rgb="FF000000"/>
        <sz val="12.0"/>
      </rPr>
      <t xml:space="preserve">1 report, including:
</t>
    </r>
    <r>
      <rPr>
        <rFont val="Arial"/>
        <b/>
        <strike/>
        <color rgb="FF000000"/>
        <sz val="12.0"/>
      </rPr>
      <t>Up to 10 slides in English</t>
    </r>
    <r>
      <rPr>
        <rFont val="Arial"/>
        <strike/>
        <color rgb="FF000000"/>
        <sz val="12.0"/>
      </rPr>
      <t xml:space="preserve">
Key findings
1 cut of data or sub-segments
1 country (not multi-national)
1 dataset (no combining of multiple datasets or projects)
Stat testing available
Assumptions:
</t>
    </r>
    <r>
      <rPr>
        <rFont val="Arial"/>
        <b/>
        <strike/>
        <color rgb="FF000000"/>
        <sz val="12.0"/>
      </rPr>
      <t>Qualtrics reviews the data to determine outline of executive summary</t>
    </r>
    <r>
      <rPr>
        <rFont val="Arial"/>
        <strike/>
        <color rgb="FF000000"/>
        <sz val="12.0"/>
      </rPr>
      <t xml:space="preserve">
Does not include drivers or any advanced analytics
Does not include open end coding
Report will be provided as a .ppt using a Qualtrics template
Report requires purchase of either Survey Design or Survey Review and Consultation.
Estimated Timing: 7-9 business days</t>
    </r>
  </si>
  <si>
    <t>EXE-01</t>
  </si>
  <si>
    <t>EXE-02</t>
  </si>
  <si>
    <t>EXE-03</t>
  </si>
  <si>
    <t>EXE-04</t>
  </si>
  <si>
    <r>
      <rPr>
        <rFont val="Arial"/>
        <color rgb="FF000000"/>
        <sz val="12.0"/>
      </rPr>
      <t xml:space="preserve">Includes programming for:
1 dashboard in English
</t>
    </r>
    <r>
      <rPr>
        <rFont val="Arial"/>
        <b/>
        <color rgb="FF000000"/>
        <sz val="12.0"/>
      </rPr>
      <t>1 data source (e.g., surveys)</t>
    </r>
    <r>
      <rPr>
        <rFont val="Arial"/>
        <color rgb="FF000000"/>
        <sz val="12.0"/>
      </rPr>
      <t xml:space="preserve">
</t>
    </r>
    <r>
      <rPr>
        <rFont val="Arial"/>
        <b/>
        <color rgb="FF000000"/>
        <sz val="12.0"/>
      </rPr>
      <t>Up to 30 fields</t>
    </r>
    <r>
      <rPr>
        <rFont val="Arial"/>
        <color rgb="FF000000"/>
        <sz val="12.0"/>
      </rPr>
      <t xml:space="preserve">
1 widget per field
</t>
    </r>
    <r>
      <rPr>
        <rFont val="Arial"/>
        <b/>
        <color rgb="FF000000"/>
        <sz val="12.0"/>
      </rPr>
      <t>Up to 10 filters
Up to 10 custom metrics</t>
    </r>
    <r>
      <rPr>
        <rFont val="Arial"/>
        <color rgb="FF000000"/>
        <sz val="12.0"/>
      </rPr>
      <t xml:space="preserve">
(CX only) Up to 3 user roles
Does NOT include: 
Advanced widget types (Key Drivers, Pivot Table, etc.)
Weighting
Open end coding
Data import of past data (for trending)
Data stacking
Assumptions:
Dashboard fields are defined as single select survey questions, response options for multi-select, rows for matrix questions, or embedded data.
Creation of users and assigning user roles is the responsibility of the client.
Only existing platform functionality will be used. Requests that are outside of platform functionality or require custom coding may require additional scoping and cost.
Prior to programming, a dashboard plan will be created and confirmed with the customer. After the Qualtrics dashboard is built and shared for User Acceptance Testing (UAT), the customer may request up to a total of 2 hours of additional programming changes (alterations to the agreed plan). Changes after this point will require additional scoping and fees. All corrections (programmer errors) will be addressed and do not count toward these programming hours.
This is a cost for the initial programming only and does not include ongoing maintenance or changes to the dashboard.
Qualtrics provides survey build in addition to dashboard. Additional costs may be added if client provides survey build.
Estimated Timing: 1-2 weeks</t>
    </r>
  </si>
  <si>
    <r>
      <rPr>
        <rFont val="Arial"/>
        <color rgb="FF000000"/>
        <sz val="12.0"/>
      </rPr>
      <t xml:space="preserve">Includes programming for:
1 dashboard in English
</t>
    </r>
    <r>
      <rPr>
        <rFont val="Arial"/>
        <b/>
        <color rgb="FF000000"/>
        <sz val="12.0"/>
      </rPr>
      <t>Up to 2 data sources (e.g., surveys)
Up to 60 fields</t>
    </r>
    <r>
      <rPr>
        <rFont val="Arial"/>
        <color rgb="FF000000"/>
        <sz val="12.0"/>
      </rPr>
      <t xml:space="preserve">
Up to 2 widgets per field
</t>
    </r>
    <r>
      <rPr>
        <rFont val="Arial"/>
        <b/>
        <color rgb="FF000000"/>
        <sz val="12.0"/>
      </rPr>
      <t>Up to 20 filters
Up to 20 custom metrics</t>
    </r>
    <r>
      <rPr>
        <rFont val="Arial"/>
        <color rgb="FF000000"/>
        <sz val="12.0"/>
      </rPr>
      <t xml:space="preserve">
(CX only) Up to 3 user roles
Does NOT include: 
Advanced widget types (Key Drivers, Pivot Table, etc.)
Weighting
Open end coding
Data import of past data (for trending)
Data stacking
Assumptions:
Dashboard fields are defined as single select survey questions, response options for multi-select, rows for matrix questions, or embedded data.
Creation of users and assigning user roles is the responsibility of the client.
Only existing platform functionality will be used. Requests that are outside of platform functionality or require custom coding may require additional scoping and cost.
Prior to programming, a dashboard plan will be created and confirmed with the customer. After the Qualtrics dashboard is built and shared for User Acceptance Testing (UAT), the customer may request up to a total of 3 hours of additional programming changes (alterations to the agreed plan). Changes after this point will require additional scoping and fees. All corrections (programmer errors) will be addressed and do not count toward these programming hours.
This is a cost for the initial programming only and does not include ongoing maintenance or changes to the dashboard.
Qualtrics provides survey build in addition to dashboard. Additional costs may be added if client provides survey build.
Estimated Timing: 2-3 weeks</t>
    </r>
  </si>
  <si>
    <r>
      <rPr>
        <rFont val="Arial"/>
        <color rgb="FF000000"/>
        <sz val="12.0"/>
      </rPr>
      <t xml:space="preserve">Includes programming for:
1 dashboard in English
</t>
    </r>
    <r>
      <rPr>
        <rFont val="Arial"/>
        <b/>
        <color rgb="FF000000"/>
        <sz val="12.0"/>
      </rPr>
      <t>Up to 2 data sources (e.g., surveys)
Up to 100 fields</t>
    </r>
    <r>
      <rPr>
        <rFont val="Arial"/>
        <color rgb="FF000000"/>
        <sz val="12.0"/>
      </rPr>
      <t xml:space="preserve">
Up to 2 widgets per field
</t>
    </r>
    <r>
      <rPr>
        <rFont val="Arial"/>
        <b/>
        <color rgb="FF000000"/>
        <sz val="12.0"/>
      </rPr>
      <t>Up to 20 filters
Up to 30 custom metrics
Advanced widget types (Key Drivers, Pivot Table, etc.)</t>
    </r>
    <r>
      <rPr>
        <rFont val="Arial"/>
        <color rgb="FF000000"/>
        <sz val="12.0"/>
      </rPr>
      <t xml:space="preserve">
(CX only) Up to 3 user roles
Does NOT include: 
Weighting
Open end coding
Data import of past data (for trending)
Data stacking
Assumptions:
Dashboard fields are defined as single select survey questions, response options for multi-select, rows for matrix questions, or embedded data.
Creation of users and assigning user roles is the responsibility of the client.
Only existing platform functionality will be used. Requests that are outside of platform functionality or require custom coding may require additional scoping and cost.
Prior to programming, a dashboard plan will be created and confirmed with the customer. After the Qualtrics dashboard is built and shared for User Acceptance Testing (UAT), the customer may request up to a total of 4 hours of additional programming changes (alterations to the agreed plan). Changes after this point will require additional scoping and fees. All corrections (programmer errors) will be addressed and do not count toward these programming hours.
This is a cost for the initial programming only and does not include ongoing maintenance or changes to the dashboard.
Qualtrics provides survey build in addition to dashboard. Additional costs may be added if client provides survey build.
Estimated Timing: 3-4 weeks</t>
    </r>
  </si>
  <si>
    <t>Custom dashboard if additional fields, coded fields, data sources or filters required, multiple languages, custom ENG work.</t>
  </si>
  <si>
    <t>https://www.qualtrics.com/research-core/survey-reporting-dashboards/</t>
  </si>
  <si>
    <t>DSH-01</t>
  </si>
  <si>
    <t>DSH-02</t>
  </si>
  <si>
    <t>DSH-03</t>
  </si>
  <si>
    <t>DSH-04</t>
  </si>
  <si>
    <t>Text IQ in Qualtrics</t>
  </si>
  <si>
    <r>
      <rPr>
        <rFont val="Arial"/>
        <color rgb="FF000000"/>
        <sz val="12.0"/>
      </rPr>
      <t xml:space="preserve">Qualtrics will provide open end coding services.
Such open end coding services will include:
Up to [X] responses
[Y] open end response fields (e.g., text boxes)
Responses must be:
</t>
    </r>
    <r>
      <rPr>
        <rFont val="Arial"/>
        <b/>
        <color rgb="FF000000"/>
        <sz val="12.0"/>
      </rPr>
      <t>- 1-2 words in length</t>
    </r>
    <r>
      <rPr>
        <rFont val="Arial"/>
        <color rgb="FF000000"/>
        <sz val="12.0"/>
      </rPr>
      <t xml:space="preserve">
- Common in Consumer Copy Test and Trackers (shorter, less difficult answers)
- In English
Assumptions:
Coding of open ends is conducted outside of the Qualtrics platform and provided to Customer in .csv format. 
Coding can be imported to the Qualtrics platform as embedded data by Customer. 
Customer may request Qualtrics to import coding for an additional fee.
-----------------------------------------------</t>
    </r>
  </si>
  <si>
    <r>
      <rPr>
        <rFont val="Arial"/>
        <color rgb="FF000000"/>
        <sz val="12.0"/>
      </rPr>
      <t xml:space="preserve">Qualtrics will provide open end coding services.
Such open end coding services will include:
Up to [X] responses
[Y] open end response fields (e.g., text boxes)
Responses must be:
</t>
    </r>
    <r>
      <rPr>
        <rFont val="Arial"/>
        <b/>
        <color rgb="FF000000"/>
        <sz val="12.0"/>
      </rPr>
      <t>- 1-2 sentences in length</t>
    </r>
    <r>
      <rPr>
        <rFont val="Arial"/>
        <color rgb="FF000000"/>
        <sz val="12.0"/>
      </rPr>
      <t xml:space="preserve">
- Common in Customer Satisfaction and Employee Engagement (longer answers)
- In English
Assumptions:
Coding of open ends is conducted outside of the Qualtrics platform and provided to Customer in .csv format. 
Coding can be imported to the Qualtrics platform as embedded data by Customer. 
Customer may request Qualtrics to import coding for an additional fee.
-----------------------------------------------
</t>
    </r>
  </si>
  <si>
    <r>
      <rPr>
        <rFont val="Arial"/>
        <color rgb="FF000000"/>
        <sz val="12.0"/>
      </rPr>
      <t xml:space="preserve">Qualtrics will provide open end coding services.
Such open end coding services will include:
Up to [X] responses
[Y] open end response fields (e.g., text boxes)
Responses must be:
</t>
    </r>
    <r>
      <rPr>
        <rFont val="Arial"/>
        <b/>
        <color rgb="FF000000"/>
        <sz val="12.0"/>
      </rPr>
      <t>- 1-2 sentences in length</t>
    </r>
    <r>
      <rPr>
        <rFont val="Arial"/>
        <color rgb="FF000000"/>
        <sz val="12.0"/>
      </rPr>
      <t xml:space="preserve">
- </t>
    </r>
    <r>
      <rPr>
        <rFont val="Arial"/>
        <b/>
        <color rgb="FF000000"/>
        <sz val="12.0"/>
      </rPr>
      <t>Medical or other very technical responses</t>
    </r>
    <r>
      <rPr>
        <rFont val="Arial"/>
        <color rgb="FF000000"/>
        <sz val="12.0"/>
      </rPr>
      <t xml:space="preserve">
- In English or in-language (non-English) coding
Assumptions:
Coding of open ends is conducted outside of the Qualtrics platform and provided to Customer in .csv format. 
Coding can be imported to the Qualtrics platform as embedded data by Customer. 
Customer may request Qualtrics to import coding for an additional fee.
-----------------------------------------------</t>
    </r>
  </si>
  <si>
    <t>Custom coding schema or file delivery</t>
  </si>
  <si>
    <t>https://www.qualtrics.com/iq/text-iq/</t>
  </si>
  <si>
    <t>$0.75 per response</t>
  </si>
  <si>
    <t>$1.00 per response</t>
  </si>
  <si>
    <t>$1.25 per response</t>
  </si>
  <si>
    <t>OEC-01</t>
  </si>
  <si>
    <t>OEC-02</t>
  </si>
  <si>
    <t>OEC-03</t>
  </si>
  <si>
    <t>OEC-04</t>
  </si>
  <si>
    <t>Translation per word of open ends plus uploading importing coded data into client's Qualtrics account
Tier 2 Languages:
Chinese Simplified
Chinese Traditional
Czech
French CA
French EU
French-CA
German
Greek
Hungarian
Italian
Polish
Portuguese (BZ)
Portuguese (EU) 
Russian
Slovak
Slovenian
Spanish (EU)
Spanish Mexican
Spanish Universal</t>
  </si>
  <si>
    <t>Translation per word of open ends plus uploading importing coded data into client's Qualtrics account
Tier 3 Languages:
All other languages not in Tier 1 or Tier 2. Some more common ones include:
Arabic
Croatian
Danish
Dutch
Filipino
Hebrew
Hindi
Indonesian
Japanese 
Norwegian
Thai
Turkish
Urdu
Vietnamese</t>
  </si>
  <si>
    <t>$0.61/word</t>
  </si>
  <si>
    <t>$0.71/word</t>
  </si>
  <si>
    <t>TBE-01</t>
  </si>
  <si>
    <t>TBE-02</t>
  </si>
  <si>
    <t>Scrub of 1 data set which meets the following criteria:
Up to 2 scrubs performed
Fewer than 5,000 completes
Open ends are in English only</t>
  </si>
  <si>
    <r>
      <rPr>
        <rFont val="Arial"/>
        <color rgb="FF000000"/>
        <sz val="12.0"/>
      </rPr>
      <t xml:space="preserve">Scrub of 1 data set which meets the following criteria:
Up to 2 scrubs performed
Fewer than 5,000 completes
Open ends are </t>
    </r>
    <r>
      <rPr>
        <rFont val="Calibri"/>
        <color rgb="FF000000"/>
        <sz val="12.0"/>
        <u/>
      </rPr>
      <t>not</t>
    </r>
    <r>
      <rPr>
        <rFont val="Arial"/>
        <color rgb="FF000000"/>
        <sz val="12.0"/>
      </rPr>
      <t xml:space="preserve"> in English (only one langauge)</t>
    </r>
  </si>
  <si>
    <t>Scrub of 1 data set which meets the following criteria:
Up to 2 scrubs performed
5,000 - 7,999 completes
Open ends are in English</t>
  </si>
  <si>
    <t>Scrub that includes any of the following:
Multiple data sets / links
Over 5,000 responses
Multiple languages
3 or more scrubs</t>
  </si>
  <si>
    <t>SCR-01</t>
  </si>
  <si>
    <t>SCR-02</t>
  </si>
  <si>
    <t>SCR-03</t>
  </si>
  <si>
    <t>SCR-04</t>
  </si>
  <si>
    <t>Transposing the data</t>
  </si>
  <si>
    <t>TRN-01</t>
  </si>
  <si>
    <r>
      <rPr>
        <rFont val="Arial"/>
        <color rgb="FF000000"/>
        <sz val="12.0"/>
      </rPr>
      <t xml:space="preserve">Qualtrics will provide Conjoint design, programming, and reporting.
Such a Conjoint will include:
3–7 features, each with 2–5 levels
</t>
    </r>
    <r>
      <rPr>
        <rFont val="Arial"/>
        <b/>
        <color rgb="FF000000"/>
        <sz val="12.0"/>
      </rPr>
      <t>Minimal</t>
    </r>
    <r>
      <rPr>
        <rFont val="Arial"/>
        <color rgb="FF000000"/>
        <sz val="12.0"/>
      </rPr>
      <t xml:space="preserve"> restriction logic in level pairing
Report in .ppt format with key metrics for all statements for the overall population
Up to 2 cuts (each with 2–3 populations)
Simulator tool
</t>
    </r>
    <r>
      <rPr>
        <rFont val="Arial"/>
        <color rgb="FF000000"/>
        <sz val="12.0"/>
        <u/>
      </rPr>
      <t>Assumptions</t>
    </r>
    <r>
      <rPr>
        <rFont val="Arial"/>
        <color rgb="FF000000"/>
        <sz val="12.0"/>
      </rPr>
      <t xml:space="preserve">:
Features and levels are already decided by Customer (no consultation needed).
Conjoint study and report will be provided in English only.
Assumes reporting and analysis of only the Conjoint. Supplemental reporting or analysis requires the purchase of additional reporting scope.
</t>
    </r>
    <r>
      <rPr>
        <rFont val="Arial"/>
        <color rgb="FF000000"/>
        <sz val="12.0"/>
        <u/>
      </rPr>
      <t>Estimated timeline</t>
    </r>
    <r>
      <rPr>
        <rFont val="Arial"/>
        <color rgb="FF000000"/>
        <sz val="12.0"/>
      </rPr>
      <t xml:space="preserve">: 5 days for design and programming, 10 days for analysis and reporting
</t>
    </r>
  </si>
  <si>
    <r>
      <rPr>
        <rFont val="Arial"/>
        <color rgb="FF000000"/>
        <sz val="12.0"/>
      </rPr>
      <t xml:space="preserve">Qualtrics will provide Conjoint design, programming, and reporting.
Such a Conjoint will include:
3–7 features, each with 2–5 levels
</t>
    </r>
    <r>
      <rPr>
        <rFont val="Arial"/>
        <b/>
        <color rgb="FF000000"/>
        <sz val="12.0"/>
      </rPr>
      <t>Minimal</t>
    </r>
    <r>
      <rPr>
        <rFont val="Arial"/>
        <color rgb="FF000000"/>
        <sz val="12.0"/>
      </rPr>
      <t xml:space="preserve"> restriction logic in level pairing
Report in .ppt format with key metrics for all statements for the overall population
Up to 4 cuts (each with 2–3 populations)
Simulator tool
</t>
    </r>
    <r>
      <rPr>
        <rFont val="Arial"/>
        <color rgb="FF000000"/>
        <sz val="12.0"/>
        <u/>
      </rPr>
      <t>Assumptions</t>
    </r>
    <r>
      <rPr>
        <rFont val="Arial"/>
        <color rgb="FF000000"/>
        <sz val="12.0"/>
      </rPr>
      <t xml:space="preserve">:
Design consultation to decide on final features and levels, including restriction logic
Conjoint study and report will be provided in English only.
Assumes reporting and analysis of only the Conjoint. Supplemental reporting or analysis requires the purchase of additional reporting scope.
</t>
    </r>
    <r>
      <rPr>
        <rFont val="Arial"/>
        <color rgb="FF000000"/>
        <sz val="12.0"/>
        <u/>
      </rPr>
      <t>Estimated timeline</t>
    </r>
    <r>
      <rPr>
        <rFont val="Arial"/>
        <color rgb="FF000000"/>
        <sz val="12.0"/>
      </rPr>
      <t xml:space="preserve">: 5 days for design and programming, 10 days for analysis and reporting
</t>
    </r>
  </si>
  <si>
    <r>
      <rPr>
        <rFont val="Arial"/>
        <color rgb="FF000000"/>
        <sz val="12.0"/>
      </rPr>
      <t xml:space="preserve">Conjoint Design, Programming and Reporting which includes:
3-7 Features, each with 2-5 levels
</t>
    </r>
    <r>
      <rPr>
        <rFont val="Arial"/>
        <b/>
        <color rgb="FF000000"/>
        <sz val="12.0"/>
      </rPr>
      <t>Moderate</t>
    </r>
    <r>
      <rPr>
        <rFont val="Arial"/>
        <color rgb="FF000000"/>
        <sz val="12.0"/>
      </rPr>
      <t xml:space="preserve"> restriction logic on level pairing
Design consultation to help create or eliminate features and levels, including restrictions. Or client has an excessive number of attributes that need to be paired back.
Report in .ppt format with key metrics for all statements for the overall population
Up to 4 cuts (each with 2–3 populations)
Simulator tool
</t>
    </r>
    <r>
      <rPr>
        <rFont val="Arial"/>
        <color rgb="FF000000"/>
        <sz val="12.0"/>
        <u/>
      </rPr>
      <t>Assumptions</t>
    </r>
    <r>
      <rPr>
        <rFont val="Arial"/>
        <color rgb="FF000000"/>
        <sz val="12.0"/>
      </rPr>
      <t xml:space="preserve">:
Design consultation to decide on final features and levels, including restriction logic
Conjoint study and report will be provided in English only.
Assumes reporting and analysis of only the Conjoint. Supplemental reporting or analysis requires the purchase of additional reporting scope.
</t>
    </r>
    <r>
      <rPr>
        <rFont val="Arial"/>
        <color rgb="FF000000"/>
        <sz val="12.0"/>
        <u/>
      </rPr>
      <t>Estimated timeline</t>
    </r>
    <r>
      <rPr>
        <rFont val="Arial"/>
        <color rgb="FF000000"/>
        <sz val="12.0"/>
      </rPr>
      <t xml:space="preserve">: 5 days for design and programming, 10 days for analysis and reporting
</t>
    </r>
  </si>
  <si>
    <t>Custom quote required if any of the following are required:
Rushed timeline 
5+ cuts or complex cuts (+$500-$1000 per additional)
Design restrictions or logic (+$1000-$2000)
Conjoint localized/translated into multiple languages
Custom HTML incl. custom look &amp; feel, hoverover or images (+$1000-$2000)
Multiple conjoints in the same survey
Translations/localizations added to the simulator/report
Custom reporting (e.g., custom scaling, delivery of raw data in client supplied format)</t>
  </si>
  <si>
    <t>Please include Advanced Analytics on calls to confirm needs before selling.</t>
  </si>
  <si>
    <t>CON-01</t>
  </si>
  <si>
    <t>CON-02</t>
  </si>
  <si>
    <t>CON-03</t>
  </si>
  <si>
    <t>CON-04</t>
  </si>
  <si>
    <t>MaxDiff Design and Reporting</t>
  </si>
  <si>
    <r>
      <rPr>
        <rFont val="Arial"/>
        <color rgb="FF000000"/>
        <sz val="12.0"/>
      </rPr>
      <t xml:space="preserve">Qualtrics will provide MaxDiff design, programming, and reporting.
Such a MaxDiff will include: 
</t>
    </r>
    <r>
      <rPr>
        <rFont val="Arial"/>
        <b/>
        <color rgb="FF000000"/>
        <sz val="12.0"/>
      </rPr>
      <t>8–20</t>
    </r>
    <r>
      <rPr>
        <rFont val="Arial"/>
        <color rgb="FF000000"/>
        <sz val="12.0"/>
      </rPr>
      <t xml:space="preserve"> statements
No restrictions or logic within the design
Report in .ppt format with key metrics for all statements (preference share) for the overall population
Up to 2 cuts (each with 2-3 populations)
</t>
    </r>
    <r>
      <rPr>
        <rFont val="Arial"/>
        <color rgb="FF000000"/>
        <sz val="12.0"/>
        <u/>
      </rPr>
      <t>Assumptions</t>
    </r>
    <r>
      <rPr>
        <rFont val="Arial"/>
        <color rgb="FF000000"/>
        <sz val="12.0"/>
      </rPr>
      <t xml:space="preserve">:
Statements are already decided by Customer (no consultation needed).
MaxDiff study and report will be provided in English only.
Assumes reporting and analysis of only the MaxDiff. Supplemental reporting or analysis requires the purchase of additional reporting scope.
</t>
    </r>
    <r>
      <rPr>
        <rFont val="Arial"/>
        <color rgb="FF000000"/>
        <sz val="12.0"/>
        <u/>
      </rPr>
      <t>Estimated timeline</t>
    </r>
    <r>
      <rPr>
        <rFont val="Arial"/>
        <color rgb="FF000000"/>
        <sz val="12.0"/>
      </rPr>
      <t xml:space="preserve">: 5 days for design and programming, 10 days for analysis and reporting
</t>
    </r>
  </si>
  <si>
    <r>
      <rPr>
        <rFont val="Arial"/>
        <color rgb="FF000000"/>
        <sz val="12.0"/>
      </rPr>
      <t xml:space="preserve">Qualtrics will provide MaxDiff design, programming, and reporting.
Such a MaxDiff will include: 
</t>
    </r>
    <r>
      <rPr>
        <rFont val="Arial"/>
        <b/>
        <color rgb="FF000000"/>
        <sz val="12.0"/>
      </rPr>
      <t xml:space="preserve">8–20 </t>
    </r>
    <r>
      <rPr>
        <rFont val="Arial"/>
        <color rgb="FF000000"/>
        <sz val="12.0"/>
      </rPr>
      <t xml:space="preserve">statements
No restrictions or logic within the design
Report in .ppt format with key metrics for all statements (preference share) for the overall population
Up to </t>
    </r>
    <r>
      <rPr>
        <rFont val="Arial"/>
        <b/>
        <color rgb="FF000000"/>
        <sz val="12.0"/>
      </rPr>
      <t>4</t>
    </r>
    <r>
      <rPr>
        <rFont val="Arial"/>
        <color rgb="FF000000"/>
        <sz val="12.0"/>
      </rPr>
      <t xml:space="preserve"> cuts (each with 2-3 populations)
</t>
    </r>
    <r>
      <rPr>
        <rFont val="Arial"/>
        <color rgb="FF000000"/>
        <sz val="12.0"/>
        <u/>
      </rPr>
      <t>Assumptions</t>
    </r>
    <r>
      <rPr>
        <rFont val="Arial"/>
        <color rgb="FF000000"/>
        <sz val="12.0"/>
      </rPr>
      <t xml:space="preserve">:
Includes consultation to finalize statements if needed
MaxDiff study and report will be provided in English only.
Assumes reporting and analysis of only the MaxDiff. Supplemental reporting or analysis requires the purchase of additional reporting scope.
</t>
    </r>
    <r>
      <rPr>
        <rFont val="Arial"/>
        <color rgb="FF000000"/>
        <sz val="12.0"/>
        <u/>
      </rPr>
      <t>Estimated timeline:</t>
    </r>
    <r>
      <rPr>
        <rFont val="Arial"/>
        <color rgb="FF000000"/>
        <sz val="12.0"/>
      </rPr>
      <t xml:space="preserve"> 5 days for design and programming, 10 days for analysis and reporting
</t>
    </r>
  </si>
  <si>
    <r>
      <rPr>
        <rFont val="Arial"/>
        <color rgb="FF000000"/>
        <sz val="12.0"/>
      </rPr>
      <t xml:space="preserve">MaxDiff Design and Reporting which includes:
</t>
    </r>
    <r>
      <rPr>
        <rFont val="Arial"/>
        <b/>
        <color rgb="FF000000"/>
        <sz val="12.0"/>
      </rPr>
      <t>20+</t>
    </r>
    <r>
      <rPr>
        <rFont val="Arial"/>
        <color rgb="FF000000"/>
        <sz val="12.0"/>
      </rPr>
      <t xml:space="preserve"> statements, includes consultation to finalize statements if needed
No restrictions or logic within the design
MaxDiff programming
PPT report with key metric (preference share) for all statements for the overall population and up to </t>
    </r>
    <r>
      <rPr>
        <rFont val="Arial"/>
        <b/>
        <color rgb="FF000000"/>
        <sz val="12.0"/>
      </rPr>
      <t>4</t>
    </r>
    <r>
      <rPr>
        <rFont val="Arial"/>
        <color rgb="FF000000"/>
        <sz val="12.0"/>
      </rPr>
      <t xml:space="preserve"> cuts (each with 2-3 populations)
</t>
    </r>
    <r>
      <rPr>
        <rFont val="Arial"/>
        <color rgb="FF000000"/>
        <sz val="12.0"/>
        <u/>
      </rPr>
      <t>Assumptions</t>
    </r>
    <r>
      <rPr>
        <rFont val="Arial"/>
        <color rgb="FF000000"/>
        <sz val="12.0"/>
      </rPr>
      <t xml:space="preserve">:
Includes consultation to finalize statements if needed
MaxDiff study and report will be provided in English only.
Assumes reporting and analysis of only the MaxDiff. Supplemental reporting or analysis requires the purchase of additional reporting scope.
</t>
    </r>
    <r>
      <rPr>
        <rFont val="Arial"/>
        <color rgb="FF000000"/>
        <sz val="12.0"/>
        <u/>
      </rPr>
      <t>Estimated Timeline</t>
    </r>
    <r>
      <rPr>
        <rFont val="Arial"/>
        <color rgb="FF000000"/>
        <sz val="12.0"/>
      </rPr>
      <t xml:space="preserve">: 5 days for design and programming, 10 days for analysis and reporting
</t>
    </r>
  </si>
  <si>
    <t>Custom quote required if any of the following are required:
5+ cuts or complex cuts (+$500 per additional)
Design restrictions or logic (+$1000-$2000)
Custom HTML incl. hoverover or images (+$1000)
Multiple MaxDiffs in the same survey
Translations/localizations added to the MaxDiff
Custom reporting or 5+ cuts (e.g., reporting on groups of statements, custom scaling, delivery of raw data in client supplied format)
Custom metrics (metric other than preference share) requires in reporting</t>
  </si>
  <si>
    <t>MXD-01</t>
  </si>
  <si>
    <t>MXD-02</t>
  </si>
  <si>
    <t>MXD-03</t>
  </si>
  <si>
    <t>MXD-04</t>
  </si>
  <si>
    <t>TURF Results added into a MaxDiff or Conjoint Report</t>
  </si>
  <si>
    <r>
      <rPr>
        <rFont val="Arial"/>
        <color rgb="FF000000"/>
        <sz val="12.0"/>
      </rPr>
      <t xml:space="preserve">TURF Results added into MaxDiff or Conjoint Report </t>
    </r>
    <r>
      <rPr>
        <rFont val="Arial"/>
        <b/>
        <color rgb="FF000000"/>
        <sz val="12.0"/>
      </rPr>
      <t>and Creation of an interactive TURF Simulator</t>
    </r>
  </si>
  <si>
    <t>Note, client must have bought MaxDiff or Conjoint to get this</t>
  </si>
  <si>
    <t>TRF-01</t>
  </si>
  <si>
    <t>TRF-02</t>
  </si>
  <si>
    <t>OLS or Logit regression analysis for 1 DV/Outcome</t>
  </si>
  <si>
    <t>More advanced OLS or Logit regressions as well as SEM, Heirarchical, or more advanced regression analysis.</t>
  </si>
  <si>
    <t>REG-01</t>
  </si>
  <si>
    <t>REG-04</t>
  </si>
  <si>
    <t>Clustering analysis and consultation based on a select number of psychographic, demographic, or behavioral variables. Includes a review of the segments with the client before reporting begins.</t>
  </si>
  <si>
    <t>Clustering involving appended data, client data, multiple data sets or clustering analysis that needs to be performed within a country or subgroup.</t>
  </si>
  <si>
    <t>*Only sold as part of segmentation research</t>
  </si>
  <si>
    <t>CLS-01</t>
  </si>
  <si>
    <t>CLS-04</t>
  </si>
  <si>
    <t>Typing Tool Creation (algorithm, excel, &amp; add to Qualtrics account)</t>
  </si>
  <si>
    <t>Typing tool creation based on segmentation data and results. Includes creation of algorithms, creation of typing tool in Qualtrics, and creation of supporting documentation.</t>
  </si>
  <si>
    <t>TTC-01</t>
  </si>
  <si>
    <t>Estimating the potential size (people, volume and/or revenue) of a market and using that to understand size of segments, a particular category, or potential interest in a concept. Note, it may be required to collect partials and screenouts.</t>
  </si>
  <si>
    <t>*Only sold as part of A&amp;U or segmentation research</t>
  </si>
  <si>
    <t>Van Westendorp (VanWest, VW)</t>
  </si>
  <si>
    <t xml:space="preserve">Qualtrics will provide Van Westendorp programming and reporting in one (1) survey within the Customer’s account.
Such design, programming, and reporting will include:
One VW exercise focused on a single product/concept 
Calculation of acceptable price range and indifference price
Analysis of elasticity for up to two (2) subgroups (e.g., a specific age range, frequent purchasers etc.)
Reporting in .ppt slides including summary of results and price sensitivity
Pricing for additional cuts available on request
Assumptions:
Pricing above is for a single product/concept; additional pricing available on request
Pricing is in a single currency </t>
  </si>
  <si>
    <t>Gabor Granger / Price Elasticity Analysis</t>
  </si>
  <si>
    <t xml:space="preserve">Qualtrics will provide Gabor Granger programming and reporting in one (1) survey within the Customer’s account.
Such design, programming, and reporting will include:
One GG exercise focused on a single product/concept 
Inclusion of static image and or description within the GG question text
Javascript for price adaptation for one GG exercise
Calculation of price elasticity and revenue proportions and optimal price
Analysis of elasticity for up to two (2) subgroups (e.g., a specific age range, frequent purchasers etc.)
Reporting in .ppt slides including summary of results and elasticity curve(s)
Pricing for additional subgroups available upon request
Assumptions:
Pricing above is for a single product/concept; additional pricing available on request
Pricing is in a single currency 
</t>
  </si>
  <si>
    <t>Key Drivers Analysis (KDA)</t>
  </si>
  <si>
    <t>Qualtrics will provide a Key Drivers Analysis (KDA) in one (1) survey within the Customer’s account
Such design, programming, and reporting will include:
1 model and 1 dependent variable and up to 2 subgroups.
Reporting on attribute importance and variance explained
Assumptions:
Design has been reviewed and approved by the team prior to fielding
Attributes have 50% or greater coverage in survey data for analysis
$1000 per model if more than 2 cuts</t>
  </si>
  <si>
    <t>Qualtrics will provide a Key Drivers Analysis (KDA) in one (1) survey within the Customer’s account
Such design, programming, and reporting will include:
2 models and 1 dependent variable and up to 2 subgroups.
Reporting on attribute importance and variance explained
Assumptions:
Design has been reviewed and approved by the team prior to fielding
Attributes have 50% or greater coverage in survey data for analysis
$1000 per model if more than 2 cuts</t>
  </si>
  <si>
    <t>Qualtrics will provide a Key Drivers Analysis (KDA) in one (1) survey within the Customer’s account
Such design, programming, and reporting will include:
3 models and 1 dependent variable and up to 2 subgroups.
Reporting on attribute importance and variance explained
Assumptions:
Design has been reviewed and approved by the team prior to fielding
Attributes have 50% or greater coverage in survey data for analysis
$1000 per model if more than 2 cuts</t>
  </si>
  <si>
    <t>KANO</t>
  </si>
  <si>
    <t>Kano Analysis
Qualtrics will provide Kano design, programming, and reporting. 
Such design, programming, and reporting will include:
Up to 25 product features
Incorporation of text description or static image into question text
Report in .ppt format including classification of each feature tested using discrete analysis
Up to 2 cuts (each with 2–3 populations)
Assumptions:
Product are already provided by Customer (consultation available).
Kano study and report will be provided in English only.
Assumes reporting and analysis of only the Kano. Supplemental reporting or analysis requires the purchase of additional reporting scope.
Estimated timeline: 5 days for design and programming, 10 days for analysis and reporting</t>
  </si>
  <si>
    <t>fma</t>
  </si>
  <si>
    <t>Ad-Hoc | Data Collection</t>
  </si>
  <si>
    <t>Disseminating the survey to a particular consumer or B2B audience by quotas, integrating with 3rd party vendors, re-directs.</t>
  </si>
  <si>
    <t>Project Management</t>
  </si>
  <si>
    <t>TBD - not currently offered</t>
  </si>
  <si>
    <t>Price</t>
  </si>
  <si>
    <t>PMT-01</t>
  </si>
  <si>
    <t>PMT-02</t>
  </si>
  <si>
    <t>PMT-03</t>
  </si>
  <si>
    <r>
      <rPr>
        <rFont val="Arial"/>
        <color rgb="FF000000"/>
        <sz val="12.0"/>
      </rPr>
      <t xml:space="preserve">B2C Sample through Online Panel Partners with up to 3 quotas on </t>
    </r>
    <r>
      <rPr>
        <rFont val="Calibri"/>
        <color rgb="FF000000"/>
        <sz val="12.0"/>
        <u/>
      </rPr>
      <t>completes</t>
    </r>
  </si>
  <si>
    <r>
      <rPr>
        <rFont val="Arial"/>
        <color rgb="FF000000"/>
        <sz val="12.0"/>
      </rPr>
      <t xml:space="preserve">B2C Sample through Online Panel Partners with up to 5 quotas on </t>
    </r>
    <r>
      <rPr>
        <rFont val="Calibri"/>
        <color rgb="FF000000"/>
        <sz val="12.0"/>
        <u/>
      </rPr>
      <t>completes</t>
    </r>
    <r>
      <rPr>
        <rFont val="Arial"/>
        <color rgb="FF000000"/>
        <sz val="12.0"/>
      </rPr>
      <t xml:space="preserve"> OR simple nested quotas (2 variables, gender + 1 other)</t>
    </r>
  </si>
  <si>
    <t>B2C with Balanced Starts (up to 5 quotas on entries) or complex nested quotas (more than 2 variables)</t>
  </si>
  <si>
    <t>Note: Minimum is $500 per link</t>
  </si>
  <si>
    <t>(CPI * 2.5 + $3) / complete</t>
  </si>
  <si>
    <t>PSA-01</t>
  </si>
  <si>
    <t>PSA-02</t>
  </si>
  <si>
    <t>PSA-03</t>
  </si>
  <si>
    <t>Panel Sample - B2B Sample</t>
  </si>
  <si>
    <t>B2B Sample through Online Panel Partners with up to 3 quotas on completes</t>
  </si>
  <si>
    <t>Panel Sample - Medical</t>
  </si>
  <si>
    <t>Medical Sample through Online Panel Partners with up to 3 quotas on completes</t>
  </si>
  <si>
    <t>B2C Probability Sampling for Gen Pop audience within USA</t>
  </si>
  <si>
    <t>CPI * 1.54 / complete</t>
  </si>
  <si>
    <t>PRB-01</t>
  </si>
  <si>
    <r>
      <rPr>
        <rFont val="Arial"/>
        <color rgb="FF000000"/>
        <sz val="12.0"/>
      </rPr>
      <t xml:space="preserve">Qualtrics will distribute one (1) survey to one (1) Customer list of respondents via the Qualtrics emailer.
Such list management will include:
Screener and quota setup (simple)
Message creation (no custom HTML formatting)
Up to 2 Invite distributions (e.g., soft launch group and full launch group)
Up to 2 Reminders per distribution group
1 Thank You message (optional)
Total list size up to </t>
    </r>
    <r>
      <rPr>
        <rFont val="Arial"/>
        <b/>
        <color rgb="FF000000"/>
        <sz val="12.0"/>
      </rPr>
      <t>100,000 recipients</t>
    </r>
    <r>
      <rPr>
        <rFont val="Arial"/>
        <color rgb="FF000000"/>
        <sz val="12.0"/>
      </rPr>
      <t>,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No HTML or custom formatting is permitted.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
-----------------------------------------------</t>
    </r>
  </si>
  <si>
    <r>
      <rPr>
        <rFont val="Arial"/>
        <i/>
        <color rgb="FF000000"/>
        <sz val="12.0"/>
      </rPr>
      <t>*Note, if list size is over is 100,000, we may need to use Verias to clean email lists - Recommended for all countries. Required for countries outside of US, Canada, Western Europe, Australia, and New Zealand.</t>
    </r>
    <r>
      <rPr>
        <rFont val="Arial"/>
        <color rgb="FF000000"/>
        <sz val="12.0"/>
      </rPr>
      <t xml:space="preserve">
Qualtrics will distribute one (1) survey to one (1) Customer list of respondents via the Qualtrics emailer.
Such list management will include:
Screener and quota setup (simple)
Message creation (no custom HTML formatting)
</t>
    </r>
    <r>
      <rPr>
        <rFont val="Arial"/>
        <b/>
        <color rgb="FF000000"/>
        <sz val="12.0"/>
      </rPr>
      <t>Up to 5 Invite distributions</t>
    </r>
    <r>
      <rPr>
        <rFont val="Arial"/>
        <color rgb="FF000000"/>
        <sz val="12.0"/>
      </rPr>
      <t xml:space="preserve"> (e.g., soft launch group and full launch group)
Up to 2 Reminders per distribution group
1 Thank You message (optional)
Total list size up to </t>
    </r>
    <r>
      <rPr>
        <rFont val="Arial"/>
        <b/>
        <color rgb="FF000000"/>
        <sz val="12.0"/>
      </rPr>
      <t>350,000 recipients</t>
    </r>
    <r>
      <rPr>
        <rFont val="Arial"/>
        <color rgb="FF000000"/>
        <sz val="12.0"/>
      </rPr>
      <t>,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No HTML or custom formatting is permitted.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t>
    </r>
  </si>
  <si>
    <r>
      <rPr>
        <rFont val="Arial"/>
        <i/>
        <color rgb="FF000000"/>
        <sz val="12.0"/>
      </rPr>
      <t>*Note, if list size is over is 100,000, we may need to use Verias to clean email lists - Recommended for all countries. Required for countries outside of US, Canada, Western Europe, Australia, and New Zealand.</t>
    </r>
    <r>
      <rPr>
        <rFont val="Arial"/>
        <color rgb="FF000000"/>
        <sz val="12.0"/>
      </rPr>
      <t xml:space="preserve">
Qualtrics will distribute one (1) survey to one (1) Customer list of respondents via the Qualtrics emailer.
Such list management will include:
Screener and quota setup (simple)
Message creation (no custom HTML formatting)
</t>
    </r>
    <r>
      <rPr>
        <rFont val="Arial"/>
        <b/>
        <color rgb="FF000000"/>
        <sz val="12.0"/>
      </rPr>
      <t>Up to 10 Invite distributions</t>
    </r>
    <r>
      <rPr>
        <rFont val="Arial"/>
        <color rgb="FF000000"/>
        <sz val="12.0"/>
      </rPr>
      <t xml:space="preserve"> (e.g., soft launch group and full launch group)
Up to 2 Reminders per distribution group
1 Thank You message (optional)
Total list size up to </t>
    </r>
    <r>
      <rPr>
        <rFont val="Arial"/>
        <b/>
        <color rgb="FF000000"/>
        <sz val="12.0"/>
      </rPr>
      <t>600,000 recipients</t>
    </r>
    <r>
      <rPr>
        <rFont val="Arial"/>
        <color rgb="FF000000"/>
        <sz val="12.0"/>
      </rPr>
      <t>,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Provide any desired message HTML formatting. Qualtrics will not provide or modify any HTML formatting.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
-----------------------------------------------</t>
    </r>
  </si>
  <si>
    <t xml:space="preserve">Branded list send which is more complex than the Advanced option and may include:
Multiple countries
Multiple invitations for different groups
Over 10 Distributions
Email triggers
List sends involving dyads, recontacts, or diaries
</t>
  </si>
  <si>
    <t>Note: Costs are per link. If doing a basic list send for 2 links with 2 lists for a project, that is $3000 ($1500 x 2)</t>
  </si>
  <si>
    <t>$3,500 (+ 0.002/email if using Verias)</t>
  </si>
  <si>
    <t>$7,000 (+ 0.002/email if using Verias)</t>
  </si>
  <si>
    <t>LSB-01</t>
  </si>
  <si>
    <t>LSB-02</t>
  </si>
  <si>
    <t>LSB-03</t>
  </si>
  <si>
    <t>LSB-04</t>
  </si>
  <si>
    <r>
      <rPr>
        <rFont val="Arial"/>
        <color rgb="FF000000"/>
        <sz val="12.0"/>
      </rPr>
      <t xml:space="preserve">Standard invite (no custom formatting required, client provides messaging, client provides invite for unbranded invite (in Qualtrics or word))
Screener and Quota Setup included (simple)
</t>
    </r>
    <r>
      <rPr>
        <rFont val="Arial"/>
        <b/>
        <color rgb="FF000000"/>
        <sz val="12.0"/>
      </rPr>
      <t xml:space="preserve">1-2 distributions </t>
    </r>
    <r>
      <rPr>
        <rFont val="Arial"/>
        <color rgb="FF000000"/>
        <sz val="12.0"/>
      </rPr>
      <t xml:space="preserve">(e.g., soft launch group and full launch group), up to 2 reminders per group, and a Thank You message (optional)
Total list size </t>
    </r>
    <r>
      <rPr>
        <rFont val="Arial"/>
        <b/>
        <color rgb="FF000000"/>
        <sz val="12.0"/>
      </rPr>
      <t>up to 100,000 recipients</t>
    </r>
    <r>
      <rPr>
        <rFont val="Arial"/>
        <color rgb="FF000000"/>
        <sz val="12.0"/>
      </rPr>
      <t>, with real-time send or scheduling. List provided is clean and ready for distribution.</t>
    </r>
  </si>
  <si>
    <r>
      <rPr>
        <rFont val="Arial"/>
        <color rgb="FF000000"/>
        <sz val="12.0"/>
      </rPr>
      <t xml:space="preserve">Same as Standard except:
</t>
    </r>
    <r>
      <rPr>
        <rFont val="Arial"/>
        <b/>
        <color rgb="FF000000"/>
        <sz val="12.0"/>
      </rPr>
      <t xml:space="preserve">3-5 distributions </t>
    </r>
    <r>
      <rPr>
        <rFont val="Arial"/>
        <color rgb="FF000000"/>
        <sz val="12.0"/>
      </rPr>
      <t xml:space="preserve">
Note, if list size is over is 100,000, we may need to use Verias to clean email lists - Recommended for all countries. Required for countries outside of US, Canada, Western Europe, Australia, and New Zealand.
Qualtrics will distribute one (1) survey to one (1) Customer list of respondents via the Qualtrics emailer.
Such list management will include:
Screener and quota setup (simple)
Message creation (no custom HTML formatting)
</t>
    </r>
    <r>
      <rPr>
        <rFont val="Arial"/>
        <b/>
        <color rgb="FF000000"/>
        <sz val="12.0"/>
      </rPr>
      <t>Up to 5 Invite distributions</t>
    </r>
    <r>
      <rPr>
        <rFont val="Arial"/>
        <color rgb="FF000000"/>
        <sz val="12.0"/>
      </rPr>
      <t xml:space="preserve"> (e.g., soft launch group and full launch group)
Up to 2 Reminders per distribution group
1 Thank You message (optional)
Total list size up to </t>
    </r>
    <r>
      <rPr>
        <rFont val="Arial"/>
        <b/>
        <color rgb="FF000000"/>
        <sz val="12.0"/>
      </rPr>
      <t>350,000 recipients</t>
    </r>
    <r>
      <rPr>
        <rFont val="Arial"/>
        <color rgb="FF000000"/>
        <sz val="12.0"/>
      </rPr>
      <t>,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No HTML or custom formatting is permitted.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t>
    </r>
  </si>
  <si>
    <r>
      <rPr>
        <rFont val="Arial"/>
        <color rgb="FF000000"/>
        <sz val="12.0"/>
      </rPr>
      <t xml:space="preserve">Same as Standard Plus except:
Custom invites including HTML integration - any email that includes custom HTML coding and is not just a text insertion into our product for our team
</t>
    </r>
    <r>
      <rPr>
        <rFont val="Arial"/>
        <b/>
        <color rgb="FF000000"/>
        <sz val="12.0"/>
      </rPr>
      <t xml:space="preserve">5+ distributions </t>
    </r>
    <r>
      <rPr>
        <rFont val="Arial"/>
        <color rgb="FF000000"/>
        <sz val="12.0"/>
      </rPr>
      <t xml:space="preserve">
</t>
    </r>
    <r>
      <rPr>
        <rFont val="Arial"/>
        <b/>
        <color rgb="FF000000"/>
        <sz val="12.0"/>
      </rPr>
      <t xml:space="preserve">
Over 350,000 recipients</t>
    </r>
    <r>
      <rPr>
        <rFont val="Arial"/>
        <color rgb="FF000000"/>
        <sz val="12.0"/>
      </rPr>
      <t xml:space="preserve">. List provided is clean and ready for distribution.
</t>
    </r>
  </si>
  <si>
    <t>Note: Unbranded list sends cannot be sent from a Qualtrics owned account and must still come from the client account.</t>
  </si>
  <si>
    <t>$4,000 (+ 0.002/email if using Verias)</t>
  </si>
  <si>
    <t>$7,500 (+ 0.002/email if using Verias)</t>
  </si>
  <si>
    <t>LSU-01</t>
  </si>
  <si>
    <t>LSU-02</t>
  </si>
  <si>
    <t>LSU-03</t>
  </si>
  <si>
    <t>LSU-04</t>
  </si>
  <si>
    <r>
      <rPr>
        <rFont val="Arial"/>
        <color rgb="FF000000"/>
        <sz val="12.0"/>
      </rPr>
      <t xml:space="preserve">Client handles Incentives themselves through integrations with Tango Card or Rybbon
Tango: https://www.qualtrics.com/marketplace/tango-card-integration/
Rybbon: </t>
    </r>
    <r>
      <rPr>
        <rFont val="Arial"/>
        <color rgb="FF1155CC"/>
        <sz val="12.0"/>
        <u/>
      </rPr>
      <t>https://www.qualtrics.com/marketplace/rybbon-integration/</t>
    </r>
  </si>
  <si>
    <t>Sending out gift cards or other incentives to a specific list of people who completes the survey (identified through use of customer lists or PII asked in the survey)</t>
  </si>
  <si>
    <t>Included in License</t>
  </si>
  <si>
    <t>$1,500  or 15% of total incentive amount, whichever is greater</t>
  </si>
  <si>
    <t>ICM-01</t>
  </si>
  <si>
    <t>Sweepstake Drawings</t>
  </si>
  <si>
    <t>Not Offered - Do Not Sell
We legally cannot draw the winner</t>
  </si>
  <si>
    <t>Integration with or redirecting to/from a 3rd party platform. 
Easy integration that has been done many times before. Anything not on this list would be Tier 2.
Max of 2 quotas on the overall sample.
Platforms included: 
- Sawtooth
- Millisecond/Inquisit
- Dialsmith
- VoxPopMe</t>
  </si>
  <si>
    <t>Moderate difficulty or we have never integrated before. This includes:
- Custom websites that the customer built
- Most Academic integrations
- No other complex requirements besides passing into and out of the third party survey</t>
  </si>
  <si>
    <t xml:space="preserve">Difficult and complex integrations. This includes (but is not limited to): 
-Setups that require 2+ phone calls with the PM to scope and setup the integration
-Other pieces such as multiple links that the customer is redirecting to (this includes randomization requirements, quotas on the integration etc.)
-3+ quotas on overall sample 
-Surveys with a total LOI of 30+ minutes
-Surveys where the participants spend more than 15 minutes in the third party portion
-Surveys with an IR under 20%
</t>
  </si>
  <si>
    <t>Caution, integrations will lead to drop out of 20%-30%+, resulting in lower IR and increased CPI</t>
  </si>
  <si>
    <t>TPI-01</t>
  </si>
  <si>
    <t>TPI-02</t>
  </si>
  <si>
    <t>TPI-03</t>
  </si>
  <si>
    <t>Appending basic panel demographic data after data collection is completed. 
1 time append only (if appending once partway through and again at the end, charge for this twice. However, appending Age, Gender, and Race at the same time is just 1 charge).
Demographics for Tier 1 Include any or all of the following:
Age
Gender
Education
Race/ethnicity
Marital status
Postal code</t>
  </si>
  <si>
    <t>Appending demographics or panel variables after data collection is completed.
1 time append only (if appending once partway through and again at the end, charge for this twice. However, appending Age, Gender, and Race at the same time is just 1 charge).
Variables included in this tier include any of the following:
Tier 1 Demographics
HH Income
HH Size
Other Household level demographics
Consumer technology variables
Auto variables</t>
  </si>
  <si>
    <t>Appending profiling variables - each data set that needs appending is at this cost. If multiple data sets are required, charge for each data set (appending Mosaic and PRIZM 5 would result in two charges).
Data sets included in this tier:
Household decision making panel database variables
Financial and Insurance panel database variables
Experian Mosaic
Experian Financial segmentation solution (UK Only)
Claritas PRIZM Premier (lifestyle segments)
Claritas P$Cycle (financial segments)
Claritas Connexions (segmentation using consumer behavior and usage from tech, video, data services)
Environics PRIZM5 (Canada lifetstyle segmentation)
Neustar ElementOne (172-segment segmentation driven by demos)
L2 Voter Data (registration data and voter history)</t>
  </si>
  <si>
    <t xml:space="preserve">Appending profiling variables - each data set that needs appending is at this cost. If multiple data sets are required, charge for each data set.
Business Decision Maker panel database variables
Behaviors and Interests panel database variables
Experian Marketing Analytics Bundle (financial, demographic, lifestyle, interest and life stage data)
Experian Scorex PLUS (modeled credit scores)
Axciom InfoBase - Data Bundles
Axciom Personicx
Full Contact Social Media (social media match and profiling data)
</t>
  </si>
  <si>
    <t>Note: Custom quote for any topics not listed in the four buckets or anything over 5,000 responses.
Note: prices reflect using Dynata as panel provider, custom quote required for other sources.</t>
  </si>
  <si>
    <t>$1000 per append for Dynata or Lucid</t>
  </si>
  <si>
    <t>$2500 per append for Dynata or Lucid</t>
  </si>
  <si>
    <t>$3750 per variable set appended when using Dynata</t>
  </si>
  <si>
    <t>$6500 per variable set appended when using Dynata</t>
  </si>
  <si>
    <t>DAP-01</t>
  </si>
  <si>
    <t>DAP-02</t>
  </si>
  <si>
    <t>DAP-03</t>
  </si>
  <si>
    <t>DAP-04</t>
  </si>
  <si>
    <t>Panel Sample - Recontact</t>
  </si>
  <si>
    <t>Participant takes an original survey and is later recontacted to take a second survey. Depending on the length between surveys, we typically see only 20%-40% of original participants take the second survey.
No gaurentees can be made on quotas or respondent mix after the first wave.</t>
  </si>
  <si>
    <t>Note: must note its a recontact before first phase.
Caution, problematic project type</t>
  </si>
  <si>
    <t>PRE-01</t>
  </si>
  <si>
    <t>Panel Sample - Dyad</t>
  </si>
  <si>
    <t>A pair of participants (e.g., parent-child, manager-employee, couples) taking a survey one after the other.</t>
  </si>
  <si>
    <t>Caution, problematic project type</t>
  </si>
  <si>
    <t>PDY-01</t>
  </si>
  <si>
    <t>Panel Sample - CATI</t>
  </si>
  <si>
    <t>Computer Assisted Telephone Interview, or in other words, online telephone surveys.</t>
  </si>
  <si>
    <t>PCA-01</t>
  </si>
  <si>
    <t>Panel Sample - IHUT</t>
  </si>
  <si>
    <t>In-home usage tests involve a company sending a product to a specific group of people to test at home and take a survey during/after that experience with the product.</t>
  </si>
  <si>
    <t>PIH-01</t>
  </si>
  <si>
    <t>Panel Sample - Diary Study</t>
  </si>
  <si>
    <t>Research in which the participant repeatedly takes surveys (e.g., once a day for a week or 4 times a day for 2 weeks). Qualtrics cannot guarantee the requested number of completes given the high rates of attrition on these studies.</t>
  </si>
  <si>
    <t>Note: Strongly Recommend ROI Rocket 
Caution, problematic project type</t>
  </si>
  <si>
    <t>PDS-01</t>
  </si>
  <si>
    <t>Panel Sample - Online Recruit / Panel Build</t>
  </si>
  <si>
    <t xml:space="preserve">Qualifying participants online and collecting personal identifying information (PII), allowing the client to maintain contact with them in the future. </t>
  </si>
  <si>
    <t>Note: collecting PII severly limits available panelists.
Note: we cannot guarantee any success rate with emails gathered</t>
  </si>
  <si>
    <t>CPI * 2.5 / complete + $1,000 for PM and Programming Fee</t>
  </si>
  <si>
    <t>POR-01</t>
  </si>
  <si>
    <t>Panel Sample - In-Person/Offline Custom Recruit / Panel Build</t>
  </si>
  <si>
    <t>Not Offered - Do Not Sell</t>
  </si>
  <si>
    <t>TargetSmart</t>
  </si>
  <si>
    <t>Data Entry
(manually entering data from paper surveys into Qualtrics)</t>
  </si>
  <si>
    <t>Panel Sample - Passive Metering</t>
  </si>
  <si>
    <t xml:space="preserve">Data collection which involves respondents who have or asked to download software to their devices that software collects data about the clicks the panelist makes on the devices. The information about the clicks includes the app names, domain names, the unique URL, time frames, pages visited, and more. </t>
  </si>
  <si>
    <t>PPM-01</t>
  </si>
  <si>
    <t>Panel Sample - Geo-Fencing / Location Based</t>
  </si>
  <si>
    <t>Panel sample which tracks the location of the panelist so you can track their movements and which places they have visisted or use their location to trigger surveys at certain points or events (e.g., when they leave a store)</t>
  </si>
  <si>
    <t>Note: using MFour Behavioral Data</t>
  </si>
  <si>
    <t>PGF-01</t>
  </si>
  <si>
    <t>Category</t>
  </si>
  <si>
    <t>SFDC Product Code</t>
  </si>
  <si>
    <t>SKU (Code+Tier)</t>
  </si>
  <si>
    <t>Detailed Description</t>
  </si>
  <si>
    <t xml:space="preserve">Legal Language </t>
  </si>
  <si>
    <t xml:space="preserve">Update Status </t>
  </si>
  <si>
    <r>
      <rPr>
        <rFont val="Calibri"/>
        <color rgb="FF000000"/>
        <sz val="12.0"/>
      </rPr>
      <t xml:space="preserve">Global Retail Price
</t>
    </r>
    <r>
      <rPr>
        <rFont val="Calibri"/>
        <color rgb="FF000000"/>
        <sz val="8.0"/>
      </rPr>
      <t>(to client)</t>
    </r>
  </si>
  <si>
    <t>Bundled Price</t>
  </si>
  <si>
    <r>
      <rPr>
        <rFont val="Calibri"/>
        <color rgb="FF000000"/>
        <sz val="12.0"/>
      </rPr>
      <t>EMEA Retail Price</t>
    </r>
    <r>
      <rPr>
        <rFont val="Calibri"/>
        <color rgb="FF000000"/>
        <sz val="8.0"/>
      </rPr>
      <t xml:space="preserve">
(if blank, refer to Global)</t>
    </r>
  </si>
  <si>
    <r>
      <rPr>
        <rFont val="Calibri"/>
        <color rgb="FF000000"/>
        <sz val="12.0"/>
      </rPr>
      <t xml:space="preserve">APJ Retail Price
</t>
    </r>
    <r>
      <rPr>
        <rFont val="Calibri"/>
        <color rgb="FF000000"/>
        <sz val="8.0"/>
      </rPr>
      <t>(if blank, refer to Global)</t>
    </r>
  </si>
  <si>
    <t>Feedback from Sales</t>
  </si>
  <si>
    <t>NA Approval</t>
  </si>
  <si>
    <t>EMEA Approval</t>
  </si>
  <si>
    <t>APJ Approval</t>
  </si>
  <si>
    <t>Unit</t>
  </si>
  <si>
    <t>Extra Costs</t>
  </si>
  <si>
    <t>Offered in NA</t>
  </si>
  <si>
    <t>Offered in EMEA</t>
  </si>
  <si>
    <t>Offered in APJ</t>
  </si>
  <si>
    <t>Cost Estimate - Billed to Q</t>
  </si>
  <si>
    <t>Cost Unit - Costs billed to Q</t>
  </si>
  <si>
    <t>Extra Costs - Billed to Q</t>
  </si>
  <si>
    <t>Estimated Staff Costs (not marked up)</t>
  </si>
  <si>
    <t>Markup/margin</t>
  </si>
  <si>
    <t>PM Assignment Points - OK to Start</t>
  </si>
  <si>
    <t>PM Assignment Points - In Progress</t>
  </si>
  <si>
    <t>Mavenlink Deliverable Template</t>
  </si>
  <si>
    <t>Preferred Resource
(Internal, Vendor, QPN)</t>
  </si>
  <si>
    <t>Secondary Resource
(Internal, Vendor, QPN)</t>
  </si>
  <si>
    <t>Estimated Hours - L1/L2 PM</t>
  </si>
  <si>
    <t>Estimated Hours - L3/L4 PM</t>
  </si>
  <si>
    <t>Estimated Hours - L1/L2 RS</t>
  </si>
  <si>
    <t>Estimated Hours - L3/L4 RA</t>
  </si>
  <si>
    <t>Estimated Hours - L5+ RM</t>
  </si>
  <si>
    <t>Estimated Hours - TC</t>
  </si>
  <si>
    <t>Total Estimated Staff Costs - USA</t>
  </si>
  <si>
    <t>Total External Staff Costs - USA</t>
  </si>
  <si>
    <t>Total Estimated Staff Costs - EMEA</t>
  </si>
  <si>
    <t>Total Estimated Staff Costs - APJ</t>
  </si>
  <si>
    <t>Preferred Vendor 1</t>
  </si>
  <si>
    <t>Preferred Vendor 2</t>
  </si>
  <si>
    <t>Preferred Vendor 3</t>
  </si>
  <si>
    <t>Preferred QPN 01</t>
  </si>
  <si>
    <t>Preferred QPN 02</t>
  </si>
  <si>
    <t>Preferred QPN 03</t>
  </si>
  <si>
    <t>A&amp;U - Standard</t>
  </si>
  <si>
    <t>A&amp;U - Standard Plus</t>
  </si>
  <si>
    <t>A&amp;U - Advanced</t>
  </si>
  <si>
    <t>A&amp;U - Custom</t>
  </si>
  <si>
    <t>Ad Testing - Standard</t>
  </si>
  <si>
    <t>Ad Testing - Standard Plus</t>
  </si>
  <si>
    <t>Ad Testing - Advanced</t>
  </si>
  <si>
    <t>Ad Testing - Custom</t>
  </si>
  <si>
    <t>Concept Testing - Standard</t>
  </si>
  <si>
    <t>Concept Testing - Standard Plus</t>
  </si>
  <si>
    <t>Concept Testing - Advanced</t>
  </si>
  <si>
    <t>Concept Testing - Custom</t>
  </si>
  <si>
    <t>Competitive Benchmarking - Standard</t>
  </si>
  <si>
    <t>Competitive Benchmarking - Standard Plus</t>
  </si>
  <si>
    <t>Competitive Benchmarking - Advanced</t>
  </si>
  <si>
    <t>Competitive Benchmarking - Custom</t>
  </si>
  <si>
    <t>Message Testing via MaxDiff - Standard</t>
  </si>
  <si>
    <t>Message Testing via MaxDiff - Standard Plus</t>
  </si>
  <si>
    <t>Message Testing via MaxDiff - Advanced</t>
  </si>
  <si>
    <t>Message Testing via MaxDiff - Custom</t>
  </si>
  <si>
    <t>Product Development with Conjoint - Standard</t>
  </si>
  <si>
    <t>Product Development with Conjoint - Standard Plus</t>
  </si>
  <si>
    <t>Product Development with Conjoint - Advanced</t>
  </si>
  <si>
    <t>Product Development with Conjoint - Custom</t>
  </si>
  <si>
    <t>Product Development with MaxDiff - Standard</t>
  </si>
  <si>
    <t>Product Development with MaxDiff - Standard Plus</t>
  </si>
  <si>
    <t>Product Development with MaxDiff - Advanced</t>
  </si>
  <si>
    <t>Product Development with MaxDiff - Custom</t>
  </si>
  <si>
    <t>Segmentation - Standard</t>
  </si>
  <si>
    <t>Segmentation - Custom</t>
  </si>
  <si>
    <t>Maturity Level 
(Initial, Managed, Defined, Quantitiatively Managed, Optimizing)</t>
  </si>
  <si>
    <t>Maturity: Pricing and scoping</t>
  </si>
  <si>
    <t>Maturity: Legal / SOWs</t>
  </si>
  <si>
    <t>Maturity: Capacity &amp; Resource Mgmt</t>
  </si>
  <si>
    <t>Maturity: Platform</t>
  </si>
  <si>
    <t xml:space="preserve">Maturity: Project Execution </t>
  </si>
  <si>
    <t>Maturity: Quality/ QA/QC</t>
  </si>
  <si>
    <t>Maturity: Vendors</t>
  </si>
  <si>
    <t>Maturity: Systems</t>
  </si>
  <si>
    <t>Maturity: Marketing</t>
  </si>
  <si>
    <t>Maturity: Sales Enablement - Internal Training</t>
  </si>
  <si>
    <t>Maturity: Sales Enablement - External Facing</t>
  </si>
  <si>
    <t>RS</t>
  </si>
  <si>
    <t>RSSurveyRevConsult</t>
  </si>
  <si>
    <t>Qualtrics will provide one (1) survey review for Customer. 
Such survey review will include: 
Up to 30 questions (individual statements in a matrix or similar format each count as a question)
Such survey review will not include:
Technical review or testing
Survey build or survey programming edits
Delivery Team Responsibilities: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require design services and an additional cost.
Provide the questionnaire in a .doc file, Google Doc, or similar format. Spreadsheet formats (.xls, Google Sheets, etc.) will require additional scoping and costs.
Answer questions and clarify requirements as needed during project.
Review Qualtrics survey recommendations and provide consolidated feedback from relevant stakeholders.
Provide written sign off on final survey design.
Assumptions:
After initial survey recommendations are shared, Customer may request up to 2 rounds of iteration for review (Customer marked-up feedback on question content, response options, or logic that impacts 5 or more questions).</t>
  </si>
  <si>
    <t xml:space="preserve">Aug 18, 22: Price updated. Refer to RX Cost Normalization. </t>
  </si>
  <si>
    <t>Ali H. &amp; Adam P.</t>
  </si>
  <si>
    <t>Conor C. &amp; James P.</t>
  </si>
  <si>
    <t>Sam B.</t>
  </si>
  <si>
    <t>per service</t>
  </si>
  <si>
    <t>Yes</t>
  </si>
  <si>
    <t xml:space="preserve"> Build Services template</t>
  </si>
  <si>
    <t>Internal</t>
  </si>
  <si>
    <t>Vendor</t>
  </si>
  <si>
    <t>Y2 Analytics</t>
  </si>
  <si>
    <t>Strop</t>
  </si>
  <si>
    <t>Qualtrics will provide one (1) survey review for Customer. 
Such survey review will include: 
Up to 60 questions (individual statements in a matrix or similar format each count as a question)
Such survey review will not include:
Technical review or testing
Survey build or survey programming edits
Delivery Team Responsibilities: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require design services and an additional cost.
Provide the questionnaire in a .doc file, Google Doc, or similar format. Spreadsheet formats (.xls, Google Sheets, etc.) will require additional scoping and costs.
Answer questions and clarify requirements as needed during project.
Review Qualtrics survey recommendations and provide consolidated feedback from relevant stakeholders.
Provide written sign off on final survey design.
Assumptions:
After initial survey recommendations are shared, Customer may request up to 2 rounds of iteration for review (Customer marked-up feedback on question content, response options, or logic that impacts 5 or more questions).</t>
  </si>
  <si>
    <t>Qualtrics will provide one (1) survey review for Customer. 
Such survey review will include: 
Up to 100 questions (individual statements in a matrix or similar format each count as a question)
Such survey review will not include:
Technical review or testing
Survey build or survey programming edits
Delivery Team Responsibilities: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require design services and an additional cost.
Provide the questionnaire in a .doc file, Google Doc, or similar format. Spreadsheet formats (.xls, Google Sheets, etc.) will require additional scoping and costs.
Answer questions and clarify requirements as needed during project.
Review Qualtrics survey recommendations and provide consolidated feedback from relevant stakeholders.
Provide written sign off on final survey design.
Assumptions:
After initial survey recommendations are shared, Customer may request up to 4 rounds of iteration for review (Customer marked-up feedback on question content, response options, or logic that impacts 5 or more questions).</t>
  </si>
  <si>
    <t>RSSurveyDesignBuild</t>
  </si>
  <si>
    <t>Qualtrics will provide one (1) survey design and one (1) survey build for Customer. 
Such survey design and build will include: 
1 survey in English
Up to 30 questions or elements (Embedded Data, hidden variables, individual statements in a matrix or similar format)
Light survey flow logic (fewer than 10 survey flow elements such as randomizers and branches)
Delivery Team Responsibilities:
Provide methodological expertise on best design practices and technical expertise on what is feasible in the platform.
Draft survey design in English.
Conduct Quality Assurance (QA) for survey design.
Provide drafted survey in .doc format for Customer review.
Implement Customer feedback.
After receiving written sign off on design, program the survey in Qualtrics in English.
Ensure compatibility with fielding and reporting needs as possible.
Conduct QA to ensure correct functionality per survey design.
Provide programmed survey link to Customer for User Acceptance Testing (UAT).
Implement Customer UAT feedback.
Customer Responsibilities: 
Provide design inputs requested by Qualtrics related to study goals.
Provide any images or video files required in the correct format, resolution, dimensions, and file size. Qualtrics will not source or modify any files.
Answer questions and clarify requirements as needed during project.
Review survey design and provide consolidated feedback from relevant stakeholders.
Provide written sign off on final survey design.
Perform UAT of the programming survey link and provide consolidated feedback from relevant stakeholders.
Provide written sign off on final survey build.
Assumptions:
Such survey design and build will not include manual implementation of customer-provided translations.
Only existing platform functionality will be used. Requests that are outside of platform functionality or require custom coding will be subject to additional fees and further scoping by Qualtrics.
After initial survey draft is shared, Customer may request up to 2 rounds of iteration for design (Customer marked-up feedback on question content, response options, or logic that impacts 5 or more questions).
Survey programming will not begin until Customer has provided written sign off on the survey design. 
After the Qualtrics survey test link is shared, Customer may request up to 2 rounds of additional programming changes (new wording, logic, etc.), which may not exceed more than 2 hours of programmer time to implement. Changes requested after this point will be subject to additional fees and further scoping by Qualtrics. All corrections (programmer errors) will be addressed and do not count toward these programming hours.</t>
  </si>
  <si>
    <t>Sam B. Suggest a shorter 'standard' timeframe. 4 weeks is too long. Maybe 1 week for design, 1 week for build and test. Rest is up to client to expedite</t>
  </si>
  <si>
    <t>Vendor w/ RX Review</t>
  </si>
  <si>
    <t>Qualtrics will provide one (1) survey design and one (1) survey build for Customer. 
Such survey design and build will include: 
1 survey in English
Up to 60 questions or elements (Embedded Data, hidden variables, individual statements in a matrix or similar format)
Moderate survey flow logic (fewer than 50 survey flow elements such as randomizers and branches)
Delivery Team Responsibilities:
Provide methodological expertise on best design practices and technical expertise on what is feasible in the platform.
Draft survey design in English.
Conduct Quality Assurance (QA) for survey design.
Provide drafted survey in .doc format for Customer review.
Implement Customer feedback.
After receiving written sign off on design, program the survey in Qualtrics in English.
Ensure compatibility with fielding and reporting needs as possible.
Conduct QA to ensure correct functionality per survey design.
Provide programmed survey link to Customer for User Acceptance Testing (UAT).
Implement Customer UAT feedback.
Customer Responsibilities: 
Provide design inputs requested by Qualtrics related to study goals.
Provide any images or video files required in the correct format, resolution, dimensions, and file size. Qualtrics will not source or modify any files.
Answer questions and clarify requirements as needed during project.
Review survey design and provide consolidated feedback from relevant stakeholders.
Provide written sign off on final survey design.
Perform UAT of the programming survey link and provide consolidated feedback from relevant stakeholders.
Provide written sign off on final survey build.
Assumptions:
Such survey design and build will not include manual implementation of customer-provided translations.
Only existing platform functionality will be used. Requests that are outside of platform functionality or require custom coding will be subject to additional fees and further scoping by Qualtrics.
After initial survey draft is shared, Customer may request up to 3 rounds of iteration for design (Customer marked-up feedback on question content, response options, or logic that impacts 5 or more questions).
Survey programming will not begin until Customer has provided written sign off on the survey design. 
After the Qualtrics survey test link is shared, Customer may request up to 3 rounds of additional programming changes (new wording, logic, etc.), which may not exceed more than 3 hours of programmer time to implement. Changes requested after this point will be subject to additional fees and further scoping by Qualtrics. All corrections (programmer errors) will be addressed and do not count toward these programming hours.</t>
  </si>
  <si>
    <t>Sam B. As above</t>
  </si>
  <si>
    <t>Qualtrics will provide one (1) survey design and one (1) survey build for Customer. 
Such survey design and build will include: 
1 survey in English
Up to 100 questions or elements (Embedded Data, hidden variables, individual statements in a matrix or similar format)
Heavy survey flow logic (fewer than 100 survey flow elements such as randomizers and branches)
Delivery Team Responsibilities:
Provide methodological expertise on best design practices and technical expertise on what is feasible in the platform.
Draft survey design in English.
Conduct Quality Assurance (QA) for survey design.
Provide drafted survey in .doc format for Customer review.
Implement Customer feedback.
After receiving written sign off on design, program the survey in Qualtrics in English.
Ensure compatibility with fielding and reporting needs as possible.
Conduct QA to ensure correct functionality per survey design.
Provide programmed survey link to Customer for User Acceptance Testing (UAT).
Implement Customer UAT feedback.
Customer Responsibilities: 
Provide design inputs requested by Qualtrics related to study goals.
Provide any images or video files required in the correct format, resolution, dimensions, and file size. Qualtrics will not source or modify any files.
Answer questions and clarify requirements as needed during project.
Review survey design and provide consolidated feedback from relevant stakeholders.
Provide written sign off on final survey design.
Perform UAT of the programming survey link and provide consolidated feedback from relevant stakeholders.
Provide written sign off on final survey build.
Assumptions:
Such survey design and build will not include manual implementation of customer-provided translations.
Only existing platform functionality will be used. Requests that are outside of platform functionality or require custom coding will be subject to additional fees and further scoping by Qualtrics.
After initial survey draft is shared, Customer may request up to 4 rounds of iteration for design (Customer marked-up feedback on question content, response options, or logic that impacts 5 or more questions).
Survey programming will not begin until Customer has provided written sign off on the survey design. 
After the Qualtrics survey test link is shared, Customer may request up to 4 rounds of additional programming changes (new wording, logic, etc.), which may not exceed more than 4 hours of programmer time to implement. Changes requested after this point will be subject to additional fees and further scoping by Qualtrics. All corrections (programmer errors) will be addressed and do not count toward these programming hours.</t>
  </si>
  <si>
    <t>Sam B. As above, but 1.5-2 weeks for programming seems ok</t>
  </si>
  <si>
    <t>RSSurveyDesign</t>
  </si>
  <si>
    <t>Qualtrics will provide one (1) survey design for Customer. 
Such survey design will include: 
1 survey in English
Up to 30 questions or elements (Embedded Data, hidden variables, individual statements in a matrix or similar format)
Light survey flow logic (fewer than 10 survey flow elements such as randomizers and branches)
Such survey design will not include:
Technical review or testing
Survey build or survey programming edits
Delivery Team Responsibilities:
Provide methodological expertise on best design practices and technical expertise on what is feasible in the platform.
Draft survey design in English.
Conduct Quality Assurance (QA) for survey design.
Provide drafted survey in .doc format for Customer review.
Implement Customer feedback.
Customer Responsibilities: 
Provide design inputs requested by Qualtrics related to study goals.
Provide any images or video files required in the correct format, resolution, dimensions, and file size. Qualtrics will not source or modify any files.
Answer questions and clarify requirements as needed during project.
Review survey design and provide consolidated feedback from relevant stakeholders.
Provide written sign off on final survey design.
Assumptions:
After initial survey draft is shared, Customer may request up to 2 rounds of iteration for design (Customer marked-up feedback on question content, response options, or logic that impacts 5 or more questions).</t>
  </si>
  <si>
    <t>No</t>
  </si>
  <si>
    <t>Qualtrics will provide one (1) survey design for Customer. 
Such survey design will include: 
1 survey in English
Up to 60 questions or elements (Embedded Data, hidden variables, individual statements in a matrix or similar format)
Moderate survey flow logic (fewer than 50 survey flow elements such as randomizers and branches)
Such survey design will not include:
Technical review or testing
Survey build or survey programming edits
Delivery Team Responsibilities:
Provide methodological expertise on best design practices and technical expertise on what is feasible in the platform.
Draft survey design in English.
Conduct Quality Assurance (QA) for survey design.
Provide drafted survey in .doc format for Customer review.
Implement Customer feedback.
Customer Responsibilities: 
Provide design inputs requested by Qualtrics related to study goals.
Provide any images or video files required in the correct format, resolution, dimensions, and file size. Qualtrics will not source or modify any files.
Answer questions and clarify requirements as needed during project.
Review survey design and provide consolidated feedback from relevant stakeholders.
Provide written sign off on final survey design.
Assumptions:
After initial survey draft is shared, Customer may request up to 3 rounds of iteration for design (Customer marked-up feedback on question content, response options, or logic that impacts 5 or more questions).</t>
  </si>
  <si>
    <t>Qualtrics will provide one (1) survey design for Customer. 
Such survey design will include: 
1 survey in English
Up to 100 questions or elements (Embedded Data, hidden variables, individual statements in a matrix or similar format)
Heavy survey flow logic (fewer than 100 survey flow elements such as randomizers and branches)
Such survey design will not include:
Technical review or testing
Survey build or survey programming edits
Delivery Team Responsibilities:
Provide methodological expertise on best design practices and technical expertise on what is feasible in the platform.
Draft survey design in English.
Conduct Quality Assurance (QA) for survey design.
Provide drafted survey in .doc format for Customer review.
Implement Customer feedback.
Customer Responsibilities: 
Provide design inputs requested by Qualtrics related to study goals.
Provide any images or video files required in the correct format, resolution, dimensions, and file size. Qualtrics will not source or modify any files.
Answer questions and clarify requirements as needed during project.
Review survey design and provide consolidated feedback from relevant stakeholders.
Provide written sign off on final survey design.
Assumptions:
After initial survey draft is shared, Customer may request up to 4 rounds of iteration for design (Customer marked-up feedback on question content, response options, or logic that impacts 5 or more questions).</t>
  </si>
  <si>
    <t>RSSurveyBuild</t>
  </si>
  <si>
    <t>Qualtrics will provide one (1) survey build for Customer. 
Such survey build will include: 
1 survey in English
Up to 30 questions or elements (Embedded Data, hidden variables, individual statements in a matrix or similar format)
Light display and skip logic (less than 20% of survey)
Up to 5 image or video files, inserted 1-2 times each within the survey
Light survey flow logic (fewer than 10 survey flow elements such as randomizers and branches)
Such survey build will not include: 
Manual implementation of Customer-provided translations
Programming of typing tools
Custom scoring
Set up of quotas, redirects, panel connections, email messages, or distributions
Sourcing or modification of any files (graphics, videos, or any inserted content)
Programming requests outside of existing platform functionality
Custom coding
Delivery Team Responsibilities:
After receiving written sign off on design, program the survey in Qualtrics in English.
Ensure compatibility with fielding and reporting needs as possible.
Conduct QA to ensure correct functionality per survey design.
Provide programmed survey link to Customer for User Acceptance Testing (UAT).
Implement Customer UAT feedback.
Customer Responsibilities: 
Provide a fully written out questionnaire, including demographics and screener questions. Bullets or partially written questions will require design services and an additional cost.
Provide document that includes all questions, response options, logic requirements, and validation instructions (items not specified are not guaranteed to be within project scope).
Provide any images or video files required in the correct format, resolution, dimensions, and file size.
Answer questions and clarify requirements as needed during project.
Perform UAT of the programming survey link and provide consolidated feedback from relevant stakeholders.
Provide written sign off on final survey build.
Assumptions:
Survey programming will not begin until Customer has provided written sign off on the survey design. After programming has started, changes requested by the Customer will be subject to fees and further scoping by Qualtrics.
Only existing platform functionality will be used. Requests that are outside of platform functionality or require custom coding will be subject to additional fees and further scoping by Qualtrics.
After the Qualtrics survey test link is shared, Customer may request up to 2 rounds of additional programming changes (new wording, logic, etc.), which may not exceed more than 2 hours of programmer time to implement. Changes requested after this point will be subject to additional fees and further scoping by Qualtrics. All corrections (programmer errors) will be addressed and do not count toward these programming hours.</t>
  </si>
  <si>
    <t>Ugam</t>
  </si>
  <si>
    <t>Qualtrics will provide one (1) survey build for Customer. 
Such survey build will include: 
1 survey in English
Up to 60 questions or elements (Embedded Data, hidden variables, individual statements in a matrix or similar format)
Moderate display and skip logic (less than 50%)
Up to 10 image or video files, inserted 1-2 times each within the survey
Moderate survey flow logic (fewer than 50 survey flow elements such as randomizers and branches)
Such survey build will not include: 
Manual implementation of Customer-provided translations
Programming of typing tools
Custom scoring
Set up of quotas, redirects, panel connections, email messages, or distributions
Sourcing or modification of any files (graphics, videos, or any inserted content)
Programming requests outside of existing platform functionality
Custom coding
Delivery Team Responsibilities:
After receiving written sign off on design, program the survey in Qualtrics in English.
Ensure compatibility with fielding and reporting needs as possible.
Conduct QA to ensure correct functionality per survey design.
Provide programmed survey link to Customer for User Acceptance Testing (UAT).
Implement Customer UAT feedback.
Customer Responsibilities: 
Provide a fully written out questionnaire, including demographics and screener questions. Bullets or partially written questions will require design services and an additional cost.
Provide document that includes all questions, response options, logic requirements, and validation instructions (items not specified are not guaranteed to be within project scope).
Provide any images or video files required in the correct format, resolution, dimensions, and file size.
Answer questions and clarify requirements as needed during project.
Perform UAT of the programming survey link and provide consolidated feedback from relevant stakeholders.
Provide written sign off on final survey build.
Assumptions:
Survey programming will not begin until Customer has provided written sign off on the survey design. After programming has started, changes requested by the Customer will be subject to fees and further scoping by Qualtrics.
Only existing platform functionality will be used. Requests that are outside of platform functionality or require custom coding will be subject to additional fees and further scoping by Qualtrics.
After the Qualtrics survey test link is shared, Customer may request up to 3 rounds of additional programming changes (new wording, logic, etc.), which may not exceed more than 3 hours of programmer time to implement. Changes requested after this point will be subject to additional fees and further scoping by Qualtrics. All corrections (programmer errors) will be addressed and do not count toward these programming hours.</t>
  </si>
  <si>
    <t>3500+</t>
  </si>
  <si>
    <t>Qualtrics will provide one (1) survey build for Customer. 
Such survey build will include: 
1 survey in English
Up to 100 questions or elements (Embedded Data, hidden variables, individual statements in a matrix or similar format)
Moderate display and skip logic (less than 50% of survey)
Up to 12 image or video files, inserted 1-2 times each within the survey
Heavy survey flow logic (fewer than 100 survey flow elements such as randomizers and branches)
Such survey build will not include: 
Manual implementation of Customer-provided translations
Programming of typing tools
Custom scoring
Set up of quotas, redirects, panel connections, email messages, or distributions
Sourcing or modification of any files (graphics, videos, or any inserted content)
Programming requests outside of existing platform functionality
Custom coding
Delivery Team Responsibilities:
After receiving written sign off on design, program the survey in Qualtrics in English.
Ensure compatibility with fielding and reporting needs as possible.
Conduct QA to ensure correct functionality per survey design.
Provide programmed survey link to Customer for User Acceptance Testing (UAT).
Implement Customer UAT feedback.
Customer Responsibilities: 
Provide a fully written out questionnaire, including demographics and screener questions. Bullets or partially written questions will require design services and an additional cost.
Provide document that includes all questions, response options, logic requirements, and validation instructions (items not specified are not guaranteed to be within project scope).
Provide any images or video files required in the correct format, resolution, dimensions, and file size.
Answer questions and clarify requirements as needed during project.
Perform UAT of the programming survey link and provide consolidated feedback from relevant stakeholders.
Provide written sign off on final survey build.
Assumptions:
Survey programming will not begin until Customer has provided written sign off on the survey design. After programming has started, changes requested by the Customer will be subject to fees and further scoping by Qualtrics.
Only existing platform functionality will be used. Requests that are outside of platform functionality or require custom coding will be subject to additional fees and further scoping by Qualtrics.
After the Qualtrics survey test link is shared, Customer may request up to 4 rounds of additional programming changes (new wording, logic, etc.), which may not exceed more than 4 hours of programmer time to implement. Changes requested after this point will be subject to additional fees and further scoping by Qualtrics. All corrections (programmer errors) will be addressed and do not count toward these programming hours.</t>
  </si>
  <si>
    <t>Aug 18, 22: Price Updated. Refer to RX Cost Normalization.</t>
  </si>
  <si>
    <t xml:space="preserve">Sam B. </t>
  </si>
  <si>
    <t>RServTransFE</t>
  </si>
  <si>
    <t>Qualtrics will translate the text of the survey and any relevant messages (e.g., error or end of survey) and upload into the project.
Translations will include the following languages: 
List languages
Such translation service will not include:
Translating Images, videos, or other media
Survey build or survey programming edits.
Delivery Team Responsibilities: 
Coordinate with translation team to deliver translations.
Ensure all necessary Embedded Data are translated accordingly and all logic within survey is functioning properly per the specified languages (if applicable).
Conduct Quality Assurance (QA), including link checks for each language.
If applicable, ensure sampling aligns with translations (i.e., respondents from XX country must take survey in XX language).
Provide Customer with survey test link or .doc to for User Acceptance Testing (UAT).
Implement Customer UAT feedback.
Customer Responsibilities
Provide any specific language requests (e.g., Q## is only shown to XX language).
Answer questions and clarify requirements as needed during project.
Perform UAT of the translations and provide consolidated feedback from relevant stakeholders.
Provide written sign off on final translations.
Assumptions
Survey has been fully programmed in Qualtrics in English.
Translations will be conducted in a Qualtrics XML file.</t>
  </si>
  <si>
    <t>Graham V.</t>
  </si>
  <si>
    <t>Cian F.</t>
  </si>
  <si>
    <t>Tessa P</t>
  </si>
  <si>
    <t>per word</t>
  </si>
  <si>
    <t>Translation Front Ent template</t>
  </si>
  <si>
    <t>Translations.com</t>
  </si>
  <si>
    <t>ProTranslating</t>
  </si>
  <si>
    <t>$125 per 2500 words (or parts thereof)</t>
  </si>
  <si>
    <t>Sam B. Suggest Sales Suppot review</t>
  </si>
  <si>
    <t>$150 per 2500 words (or parts thereof)</t>
  </si>
  <si>
    <t>RSTypingTool</t>
  </si>
  <si>
    <t>Qualtrics will program one (1) typing tool for Customer. 
Such typing tool will include: 
1 model
Up to 6 segments
Up to 20 input variables
Such typing tool will not include:
Additional processing steps outside of standard segment calculation (variable recoding, segment value calculation, probability calculation, and finding maximum for segment assignment)
Any survey programming outside what is necessary to execute the typing tool function (e.g., no programming additional survey questions, flows, or other work).
Delivery Team Responsibilities:
Program the typing tool in Customer's Qualtrics account.
Conduct Quality Assurance (QA) to ensure correct functionality per Customer algorithm guide.
Provide programmed survey link to Customer for User Acceptance Testing (UAT).
Implement Customer UAT feedback.
Customer Responsibilities: 
Provide calculation algorithm guide.
Provide questions used in algorithm and their corresponding values.
Provide segment values and/or names.
Answer questions and clarify requirements as needed during project.
Perform UAT of the programmed survey link and provide consolidated feedback from relevant stakeholders.
Provide written sign off on final typing tool build.
Assumptions:
Customer typing tool model uses regression consisting of coefficients per segmentation variable and segment, as well as probability calculations. Any tool with different output from this will be subject to additional fees and further scoping by Qualtrics.</t>
  </si>
  <si>
    <t>Yukina B. &amp; Catie C.</t>
  </si>
  <si>
    <t>Qualtrics will program one (1) typing tool for Customer. 
Such typing tool will include: 
1 model
Up to 10 segments
Up to 40 input variables
Up to 3 additional processing steps outside of standard segment calculation (variable recoding, segment value calculation, probability calculation, and finding maximum for segment assignment)
Such typing tool will not include:
Any survey programming outside what is necessary to execute the typing tool function (e.g., no programming additional survey questions, flows, or other work).
Delivery Team Responsibilities:
Program the typing tool in Customer's Qualtrics account.
Conduct Quality Assurance (QA) to ensure correct functionality per Customer algorithm guide.
Provide programmed survey link to Customer for User Acceptance Testing (UAT).
Implement Customer UAT feedback.
Customer Responsibilities: 
Provide calculation algorithm guide.
Provide questions used in algorithm and their corresponding values.
Provide segment values and/or names.
Answer questions and clarify requirements as needed during project.
Perform UAT of the programmed survey link and provide consolidated feedback from relevant stakeholders.
Provide written sign off on final typing tool build.
Assumptions:
Customer typing tool model uses regression consisting of coefficients per segmentation variable and segment, as well as probability calculations. Any tool with different output from this will be subject to additional fees and further scoping by Qualtrics.</t>
  </si>
  <si>
    <t>RSDataMigration</t>
  </si>
  <si>
    <t>Ad-Hoc | Project Management</t>
  </si>
  <si>
    <t>Full Service Project Management</t>
  </si>
  <si>
    <t>Standard - Light</t>
  </si>
  <si>
    <t>TBD if included</t>
  </si>
  <si>
    <t>Null</t>
  </si>
  <si>
    <t>Standard Plus - Light</t>
  </si>
  <si>
    <t>Advanced - Light</t>
  </si>
  <si>
    <t>Standard - Moderate</t>
  </si>
  <si>
    <t>Standard Plus - Moderate</t>
  </si>
  <si>
    <t>Advanced - Moderate</t>
  </si>
  <si>
    <t>Standard - Heavy</t>
  </si>
  <si>
    <t>Standard Plus - Heavy</t>
  </si>
  <si>
    <t>Advanced - Heavy</t>
  </si>
  <si>
    <t>RServOLSample</t>
  </si>
  <si>
    <t>Qualtrics will we responsible for the data collection process, including the setup and testing of survey quotas and related logic, the technical integration and testing with our strategic online panel partners (including the redirect links),  monitoring data collection, and sending updates during fielding.
Qualtrics will collect ### completes for respondents who meet the following qualification criteria:
- Screener 1
- Screener 2
- Screener 3
Quotas for this project include the following. Unless specified, no quotas will be nested within one another.
- Quota 1
- Quota 2
- Quota 3
Estimated incidence rate is ##% and the expected length of interview is ## minutes.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</si>
  <si>
    <t>per complete</t>
  </si>
  <si>
    <t>CPI - variable</t>
  </si>
  <si>
    <t>Online Sample</t>
  </si>
  <si>
    <t>Lucid</t>
  </si>
  <si>
    <t>Dynata</t>
  </si>
  <si>
    <t>Variable by Region</t>
  </si>
  <si>
    <t>Qualtrics will we responsible for the data collection process, including the setup and testing of survey quotas and related logic, the technical integration and testing with our strategic online panel partners (including the redirect links),  monitoring data collection, and sending updates during fielding.
Qualtrics will collect ### completes for respondents who meet the following qualification criteria:
- Screener 1
- Screener 2
- Screener 3
Quotas for this project include the following.
- Quota 1
- Quota 2
- Quota 3
- Quota 4
- Quota 5
Estimated incidence rate is ##% and the expected length of interview is ## minutes.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</si>
  <si>
    <t>Panel Sample - B2B</t>
  </si>
  <si>
    <t>RServOLSampleB2B</t>
  </si>
  <si>
    <t>ROI</t>
  </si>
  <si>
    <t>RServOLSampleMedical</t>
  </si>
  <si>
    <t>SHC</t>
  </si>
  <si>
    <t>QQFS</t>
  </si>
  <si>
    <t>RSDataCollectProbSample</t>
  </si>
  <si>
    <t>Qualtrics will we responsible for the data collection process, including the setup and the technical integration and testing with our strategic online panel partners (including the redirect links),  monitoring data collection, and sending updates during fielding.
Qualtrics will collect ### completes for respondents who meet the following qualification criteria:
- Screener 1
- Screener 2
- Screener 3
Quotas for this project include the following. Unless specified, no quotas will be nested within one another.
- Quota 1
- Quota 2
- Quota 3
Estimated incidence rate is ##% and the expected length of interview is ## minutes.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</si>
  <si>
    <t>NORC</t>
  </si>
  <si>
    <t>RServListSend</t>
  </si>
  <si>
    <t>Qualtrics will distribute one (1) survey to one (1) Customer list of respondents.
Such list management will include:
Screener and quote setup (simple)
Message creation (no custom formatting)
Up to 2 Invite distributions (e.g., soft launch group and full launch group)
Up to 2 Reminders per distribution group
1 Thank You message (optional)
Total list size up to 100,000 recipients, with real-time send or scheduling
No SMS sends
Customer Responsibilities:
Provide messaging for Invites, Reminders, and Thank You in .doc or Qualtrics format. No HTML or custom formatting is permitted.
Provide any image files required in the correct format, resolution, dimensions, and file size. Qualtrics will not source or modify any files.</t>
  </si>
  <si>
    <t>List Send</t>
  </si>
  <si>
    <t>Qualtrics will distribute one (1) survey to one (1) Customer list of respondents.
Such list management will include:
Screener and quota setup (simple)
Message creation (no custom formatting)
Up to 5 Invite distributions
Up to 2 Reminders per distribution group
1 Thank You message (optional)
Total list size up to 350,000 recipients, with real-time send or scheduling
No SMS sends
Customer Responsibilities:
Provide messaging for Invites, Reminders, and Thank You in .doc or Qualtrics format. No HTML or custom formatting is permitted.
Provide any image files required in the correct format, resolution, dimensions, and file size. Qualtrics will not source or modify any files.</t>
  </si>
  <si>
    <t>$0.0002/email for Verias</t>
  </si>
  <si>
    <t>Qualtrics will distribute one (1) survey to one (1) Customer list of respondents.
Such list management will include:
Screener and quote setup (simple)
Custom message creation, which may include HTML integration
Up to 10 Invite distributions
Up to 2 Reminders per distribution group
1 Thank You message (optional)
Total list size over 350,000 recipients, with real-time send or scheduling
No SMS sends
Customer Responsibilities:
Provide messaging for Invites, Reminders, and Thank You in .doc or Qualtrics format.
Provide any image files required in the correct format, resolution, dimensions, and file size. Qualtrics will not source or modify any files.
Provide any desired HTML formatting. Qualtrics will not provide or modify any HTML formatting.</t>
  </si>
  <si>
    <t>RSListSendUnbranded</t>
  </si>
  <si>
    <t>No, discuss with SA</t>
  </si>
  <si>
    <t>(a) List Send:</t>
  </si>
  <si>
    <t>RServIMD</t>
  </si>
  <si>
    <t>Qualtrics will send out gift cards or other incentives to a specific list of respondents who complete the survey (identified through use of Customer lists or PII asked in the survey).</t>
  </si>
  <si>
    <t>Tango</t>
  </si>
  <si>
    <t>Rybbon</t>
  </si>
  <si>
    <t>RServThrdPrtyIntegrat</t>
  </si>
  <si>
    <t xml:space="preserve">Qualtrics will manage the third-party integration of [X] in one (1) survey within the Customer's account.
Such integration will include:
Setting up all necessary logic, routing, embedded data, piped text code, and URL redirect in the Qualtrics survey.
Redirecting to one third-party website one time.
Customer Responsibilities:
Properly redirect respondents back to the Qualtrics survey with their appropriate IDs.
Provide URL to redirect to.
Assumptions:
The chosen platform for integration is able to capture and pass back dynamic variables and values via the URL and the client is capable of making the needed programming adjustments within the third-party platform to capture IDs and other variables.
Respondents must be redirected back to Qualtrics to be recorded as a complete.
Qualtrics is not responsible for the setup or programming of the third-party integration outside of the Qualtrics platform.
Qualtrics will have no control over the quality of responses within the third-party platform and cannot replace responses based on their answers provided in that platform.
Participants who stop taking the survey due to the integration will count towards incidence rate calculations and may result in a lower that scoped incidence rate for the project.
Additional fees may apply if there are more than two quotas, in additional to total completes, for the project. Additional fees may also apply if Qualtrics programs the survey to redirect to multiple third-party platforms or multiple exercises within the same platform. 
The inclusion of a third-party integration may result in a lower incidence rate (IR) or restricted feasibility for online sample. These changes in sample scope may result in increased sample pricing to account for the added difficulty of achieving quality survey completions.
</t>
  </si>
  <si>
    <t>Third Party Integration</t>
  </si>
  <si>
    <t>f</t>
  </si>
  <si>
    <t>RServDataAppend</t>
  </si>
  <si>
    <t>per append occasions</t>
  </si>
  <si>
    <t>Data Append</t>
  </si>
  <si>
    <t>per variable set, per occasion</t>
  </si>
  <si>
    <t>RSRecontact</t>
  </si>
  <si>
    <t>Qualtrics will we responsible for the data collection process, including the setup and testing of survey quotas and related logic, the technical integration and testing with our strategic online panel partners (including the redirect links),  monitoring data collection, and sending updates during fielding.
Qualtrics will collect ### Wave 1 completes for respondents who meet the following qualification criteria:
- Screener 1
- Screener 2
- Screener 3
Quotas for this project include the following.
- Quota 1
- Quota 2
- Quota 3
Qualtrics will aim for ## recontact completes but cannot gaurentee recontact rates. Demographic quotas can be in place first wave as described above, but will not be enforced in subsequent waves as Qualtrics cannot gaurentee recontact rates within each demographic.
Estimated incidence rate is ##% and the expected length of interview is ## minutes.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</si>
  <si>
    <t>ROI Rocket</t>
  </si>
  <si>
    <t>RSDyad</t>
  </si>
  <si>
    <r>
      <rPr>
        <rFont val="Calibri"/>
        <color rgb="FF000000"/>
        <sz val="8.0"/>
      </rPr>
      <t xml:space="preserve">Qualtrics will we responsible for the data collection process, including the setup and testing of survey quotas and related logic, the technical integration and testing with our strategic online panel partners (including the redirect links),  monitoring data collection, and sending updates during fielding.
Qualtrics will collect ###  completes for </t>
    </r>
    <r>
      <rPr>
        <rFont val="Calibri"/>
        <b/>
        <color rgb="FF000000"/>
        <sz val="8.0"/>
      </rPr>
      <t>pairs of respondents</t>
    </r>
    <r>
      <rPr>
        <rFont val="Calibri"/>
        <color rgb="FF000000"/>
        <sz val="8.0"/>
      </rPr>
      <t xml:space="preserve"> who meet the following qualification criteria:
- Screener 1
- Screener 2
- Screener 3
Quotas for this project include the following.
- Quota 1
- Quota 2
- Quota 3
Estimated incidence rate is ##% and the expected length of interview is ## minutes. 
Designing the survey to include multiple links (one link per respondent) often results in significant drop-off between respondents and decrease in incidence rate. Interviews where the second participant fails to complete the survey will count towards incidence rate.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r>
  </si>
  <si>
    <t>RServCATI</t>
  </si>
  <si>
    <t>Qualtrics will we responsible for the data collection process, including the setup and testing of survey quotas and related logic, the technical integration and testing with our strategic online panel partners (including the redirect links),  monitoring data collection, and sending updates during fielding.
Qualtrics will collect ### completes for respondents who meet the following qualification criteria:
- Screener 1
- Screener 2
- Screener 3
Quotas for this project include the following.
- Quota 1
- Quota 2
- Quota 3
Estimated incidence rate is ##% and the expected length of interview is ## minutes.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</si>
  <si>
    <t>CATI</t>
  </si>
  <si>
    <t>RServOLSampleIHUT</t>
  </si>
  <si>
    <t>Online Sample - IHUT</t>
  </si>
  <si>
    <t>RSDiaryStudy</t>
  </si>
  <si>
    <t>Qualtrics will we responsible for the data collection process, including the setup and testing of survey quotas and related logic, the technical integration and testing with our strategic online panel partners (including the redirect links),  monitoring data collection, and sending updates during fielding.
Qualtrics will collect ### initial completes for respondents who meet the following qualification criteria, with the goal of ### completes for the duration of the diary. Qualtrics cannot gaurentee that all participants will complete the duration of the diary study, nor that they will complete each exercise within the diary. Participants who complete 60% or more of exercises will count towards the final sample size.
Qualifications for this project include the following:
- Screener 1
- Screener 2
- Screener 3
Quotas for this project include the following.
- Quota 1
- Quota 2
- Quota 3
Qualtrics will aim for ## recontact completes but cannot gaurentee recontact rates. Demographic quotas can be in place first wave as described above, but will not be enforced in subsequent waves as Qualtrics cannot gaurentee recontact rates within each demographic.
Estimated incidence rate is ##% and the expected length of interview is ## minutes.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</si>
  <si>
    <t>RServOLSamplePanelBuild</t>
  </si>
  <si>
    <t>Qualtrics will we responsible for the data collection process, including the setup and testing of survey quotas and related logic, the technical integration and testing with our strategic online panel partners (including the redirect links),  monitoring data collection, and sending updates during fielding. 
Qualtrics will collecet names and emails for qualified participants for future use by the Customer. Qualtrics cannot gaurentee any rates of future participation by these qualified participants.
Qualtrics will collect ### completes for respondents who meet the following qualification criteria:
- Screener 1
- Screener 2
- Screener 3
Quotas for this project include the following.
- Quota 1
- Quota 2
- Quota 3
Estimated incidence rate is ##% and the expected length of interview is ## minutes.
Decreases in incidence rate or increases in length of interview may result in reduced feasibility, increased timelines, and/or increased cost per completed interview.
Additional quotas or additional qualification criteria may also result in reduced feasibility, increased timelines, and/or increased cost per completed interview.</t>
  </si>
  <si>
    <t>Online Sample Panel Build</t>
  </si>
  <si>
    <t>RSPassiveMetering</t>
  </si>
  <si>
    <t>Luth</t>
  </si>
  <si>
    <t>RSGeoFencing</t>
  </si>
  <si>
    <t>MFour</t>
  </si>
  <si>
    <t>RServDataScrub</t>
  </si>
  <si>
    <t>Qualtrics will review the data gathered and determine if any of the respondents have provided poor data (the “Data Scrub”), which may involve flagging respondents who straight-line through the survey, respond in gibberish, or speed through the survey. The Data Scrub will be performed at most twice per month and limited to one data set and fewer than 5,000 completes per month. The Data Scrub assumes all open-ended responses are in English only. Additional languages will be subject to further scoping and fees.</t>
  </si>
  <si>
    <t>Graham V. &amp; Paula S.</t>
  </si>
  <si>
    <t>Cian F. &amp; James P.</t>
  </si>
  <si>
    <t>Sam B. &amp; Erwin G.</t>
  </si>
  <si>
    <t>b3</t>
  </si>
  <si>
    <t>Qualtrics will review the data gathered and determine if any of the respondents have provided poor data (the “Data Scrub”), which may involve flagging respondents who straight-line through the survey, respond in gibberish, or speed through the survey. The Data Scrub will be performed at most twice per month and limited to one data set and fewer than 5,000 completes per month. The Data Scrub assumes all open-ended responses are in one non-English language only. Additional languages will be subject to further scoping and fees.</t>
  </si>
  <si>
    <t>Qualtrics will review the data gathered and determine if any of the respondents have provided poor data (the “Data Scrub”), which may involve flagging respondents who straight-line through the survey, respond in gibberish, or speed through the survey. The Data Scrub will be performed at most twice per month and limited to one data set and fewer than 7,999 completes per month. The Data Scrub assumes all open-ended responses are in English only. Additional languages will be subject to further scoping and fees.</t>
  </si>
  <si>
    <t>RServDataWeight</t>
  </si>
  <si>
    <t>Replaced by updated detailed description</t>
  </si>
  <si>
    <t>Description and SOW language updated 5/11/22</t>
  </si>
  <si>
    <t>Sam B. Assume this is for interlocking weights and this cost is per application? How does this work for trackers when weighting is periodically revised?  Suggest increasing costs slightly as this is usually a pain. Maybe start at $900, then $1200, then $1500.</t>
  </si>
  <si>
    <t>xxx</t>
  </si>
  <si>
    <t>Data Weighting</t>
  </si>
  <si>
    <t>Course5</t>
  </si>
  <si>
    <t>RServCrossTab</t>
  </si>
  <si>
    <t xml:space="preserve">Qualtrics will provide crosstabs for one (1) Customer survey.
Basic tables for a 10 minute survey,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2 banners with simple banner definitions (derived from direct questions or embedded data fields), with up to 10 banner points each
Customer Responsibilities:
If Qualtrics is not supporting any other reporting deliverables, the Customer is expected to provide the banner plan.
If Qualtrics is supporting with reporting deliverables, Qualtrics will propose a banner plan for Customer review and approval.
Assumptions: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10 minutes or less (as determined by median LOI). Surveys with a median LOI of longer than 10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t>
  </si>
  <si>
    <t>Description and SOW language updated 5/11/22
Aug 18, 22: Rule updated in CPQ to require Crosstabs to be included with Standard Plus and Complex Reporting</t>
  </si>
  <si>
    <t>Graham V. &amp; Carter R.</t>
  </si>
  <si>
    <t>Cross Tabulations</t>
  </si>
  <si>
    <t xml:space="preserve">Qualtrics will provide crosstabs for one (1) Customer survey.
Basic tables for a 15 minute survey,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3 banners with simple banner definitions (derived from direct questions or embedded data fields), with up to 10 banner points each
Customer Responsibilities:
If Qualtrics is not supporting any other reporting deliverables, the Customer is expected to provide the banner plan.
If Qualtrics is supporting with reporting deliverables, Qualtrics will propose a banner plan for Customer review and approval.
Assumptions: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15 minutes or less (as determined by median LOI). Surveys with a median LOI of longer than 15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t>
  </si>
  <si>
    <t xml:space="preserve">Qualtrics will provide crosstabs for one (1) Customer survey.
Basic tables for a 20 minute survey,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4 banners with simple banner definitions (derived from direct questions or embedded data fields), with up to 10 banner points each
Customer Responsibilities:
If Qualtrics is not supporting any other reporting deliverables, the Customer is expected to provide the banner plan.
If Qualtrics is supporting with reporting deliverables, Qualtrics will propose a banner plan for Customer review and approval.
Assumptions: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20 minutes or less (as determined by median LOI). Surveys with a median LOI of longer than 20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t>
  </si>
  <si>
    <t>dashboard</t>
  </si>
  <si>
    <t xml:space="preserve">Qualtrics will provide one (1) report for Customer.
Such a report will include:
Up to 30 slides in English, covering:
- Background/methodology
- Key findings
- Support detail grouped by themes of content
- Appendix (if necessary)
1 master cut of data OR 1 cut of sub-segments (e.g., age, gender, income), with no more than 7 values per variable to be charted and stat tested in the report (as interesting and of note). Additional cuts can be included in cross-tabs (if purchased). 
Stat testing can be called out for up to 2 banner points of interest indicated in the headline or as a call out on the slide (e.g., banner = age and banner point = Gen Z) and compared to total respondents (e.g., 70% of respondents are aware of brand A; women are significantly more aware of brand A than men (90% vs. 50%)). Any statistical significance testing must operate under the same conditions discussed in the Crosstabs section (i.e., Qualtrics will not stat test overlapping categories). 
1 country (not multinational) 
1 dataset (no combining of multiple datasets or projects)
Targeted statistical significance testing (optional). Qualtrics will annotate statistical significance across 1 cut of sub-groups as defined/ agreed upon in the analysis plan. This could include brands, age ranges, user types, but is limited to one 'master cut'. Other statistical significance testing is available in cross-tabs (if purchased).
Unless otherwise agreed upon and accounted for in scope and timeline, such a report will not include:
Nested cuts (i.e., age nested within gender: male 18-34, female 18-34, etc.).
Open end coding
Cross tabs
Drivers, regression, or any advanced analytics
Delivery Team Responsibilities: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for up to 2 rounds of feedback revisions.
Conduct analysis and build report.
Conduct Quality Assurance (QA) on the accuracy of the data as charted/ narrative as written in the presentation to ensure it accurately reflects the detail in the agreed upon analysis plan.
Deliver report to Customer.
If requested by Customer, Qualtrics will walk through the results (in one presentation of up to 1 hour) over online call.
Customer Responsibilities: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Assumptions: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t>
  </si>
  <si>
    <t xml:space="preserve"> 5/11/22 Legal language updated
6/20/22 Pricing rolled back to original 
Aug 18, 22: Pricing updated. Refer to RX Cost Normalization</t>
  </si>
  <si>
    <t>Adam P. &amp; Erica D. &amp; Ali H.</t>
  </si>
  <si>
    <t>James P.</t>
  </si>
  <si>
    <t>Full Report</t>
  </si>
  <si>
    <t>RServFullRpt</t>
  </si>
  <si>
    <t xml:space="preserve">Qualtrics will provide one (1) report for Customer.
Such a report will include:
Up to 50 slides in English, covering:
- Background/methodology
- Key findings
- Support detail grouped by themes of content
- Appendix (if necessary)
Up to 2 master cuts of data or sub-segments (e.g., age, gender, income), with no more than 7 values per variable to be charted and stat tested in the report (as interesting and of note). Additional cuts may be included in the cross-tabs.
1 country (not multinational)
1 dataset (no combining of multiple datasets or projects)
Targeted statistical significance testing (optional). Qualtrics will annotate statistical significance across 21 cuts of sub-groups as defined/ agreed upon in the analysis plan. This could include brands, age ranges, user types, but is limited to one 'master cut'. Other statistical significance testing is available in cross-tabs.
Unless otherwise agreed, such a report will not include:
Nested cuts (i.e., age nested within gender: male 18-34, female 18-34, etc.)
Open end coding
Cross tabs
Drivers, regression, or any advanced analytics
Delivery Team Responsibilities: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as necessary.
Conduct analysis and build report.
Conduct Quality Assurance (QA) on the report.
Deliver report to Customer.
If requested by Customer, Qualtrics will walk through the results (in one presentation of up to 1 hour) over online call.
Customer Responsibilities: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Assumptions: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t>
  </si>
  <si>
    <t>5/11/22 Legal language updated
6/20/22 Pricing rolled back to original 
Aug 18, 22: Pricing updated. Refer to RX Cost Normalization. Must include crosstabs unless customer made aware of limited data cuts</t>
  </si>
  <si>
    <t xml:space="preserve">Qualtrics will provide one (1) report for Customer.
Such a report will include:
Up to 70 slides in English, covering:
- Background/methodology
- Key findings
- Support detail grouped by themes of content
- Appendix (if necessary)
Up to 3 master cuts of data or sub-segments (e.g., age, gender, income), with no more than 7 values per variable to be charted and stat tested in the report (as interesting and of note). Additional cuts may be included in the cross-tabs.
1 country (not multinational)
1 dataset (no combining of multiple datasets or projects)
Targeted statistical significance testing (optional). Qualtrics will annotate statistical significance across 3 cuts of sub-groups as defined/ agreed upon in the analysis plan. This could include brands, age ranges, user types, but is limited to one 'master cut'. Other statistical significance testing is available in cross-tabs.
Unless otherwise agreed, such a report will not include:
Nested cuts (i.e., age nested within gender: male 18-34, female 18-34, etc.)
Open end coding
Cross tabs
Drivers, regression, or any advanced analytics
Delivery Team Responsibilities: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as necessary.
Conduct analysis and build report.
Conduct Quality Assurance (QA) on the report.
Deliver report to Customer.
If requested by Customer, Qualtrics will walk through the results (in one presentation of up to 1 hour) over online call.
Customer Responsibilities: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Assumptions: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t>
  </si>
  <si>
    <t xml:space="preserve">Qualtrics will provide one (1) report for Customer.
Such a report will include:
Up to 70 slides in English, covering:
- Background/methodology
- Key findings
- Support detail grouped by themes of content
- Appendix (if necessary)
Up to 3 master cuts of data or sub-segments (e.g., age, gender, income), with no more than 7 values per variable to be charted and stat tested in the report (as interesting and of note). Additional cuts may be included in the cross-tabs.
1 country (not multinational)
1 dataset (no combining of multiple datasets or projects)
Targeted statistical significance testing (optional). Qualtrics will annotate statistical significance across 3 cuts of sub-groups as defined/ agreed upon in the analysis plan. This could include brands, age ranges, user types, but is limited to one ""master cut"". Other statistical significance testing is available in cross-tabs.
Unless otherwise agreed, such a report will not include:
Nested cuts (i.e., age nested within gender: male 18-34, female 18-34, etc.)
Open end coding
Cross tabs
Drivers, regression, or any advanced analytics
Delivery Team Responsibilities: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as necessary.
Conduct analysis and build report.
Conduct Quality Assurance (QA) on the report.
Deliver report to Customer.
If requested by Customer, Qualtrics will walk through the results (in one presentation of up to 1 hour) over online call.
Customer Responsibilities: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Assumptions: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t>
  </si>
  <si>
    <t>Sam B. Can we also have an option for a topline report? Maybe 10 slides max and $5,000</t>
  </si>
  <si>
    <t>RServExecSum</t>
  </si>
  <si>
    <t>Qualtrics will provide one (1) executive summary report for Customer.
Such a report will include:
1 page executive summary added to full report, covering key findings
1 country (not multi-national)
Provided in English
Assumptions:
Such a report will not include:
- Drivers, regression, or any advanced analytics
- Open end coding
Executive summary requires a full report to be provided (either by Qualtrics or by customer).</t>
  </si>
  <si>
    <t>Aug 18, 22: No longer available as a standalone item. Please refer to Reporting instead</t>
  </si>
  <si>
    <t>Qualtrics will provide one (1) executive summary report for Customer.
Such a report will include:
Up to 10 slides in English, covering key findings
1 master cut of data or sub-segment (e.g., age, gender, income), with no more than 7 values
1 country (not multi-national)
1 dataset (no combining of multiple datasets or projects)
Stat testing available
Assumptions
Such a report will not include:
- Drivers, regression, or any advanced analytics
- Open end coding
If market is a desired cut, survey content must be 90% consistent between markets. &lt;90% consistency will require additional scoping and costs.
Report will be provided as a .ppt using a Qualtrics template.
Customer Responsibilities
Provide an outline of slides to be included (e.g., NPS, imagery statements, brand funnel)
Qualtics will deliver one (1) report after all of the Customer's waves of sample have been completed (for a total of 1 report).</t>
  </si>
  <si>
    <t>Qualtrics will provide one (1) executive summary report for Customer.
Such a report will include:
Qualtrics review of data to determine report outline
Up to 10 slides in English, covering key findings
1 master cut of data or sub-segment (e.g., age, gender, income), with no more than 7 values
1 country (not multi-national)
1 dataset (no combining of multiple datasets or projects)
Stat testing available
Assumptions
Such a report will not include:
- Drivers, regression, or any advanced analytics
- Open end coding
If market is a desired cut, survey content must be 90% consistent between markets. &lt;90% consistency will require additional scoping and costs.
Report will be provided as a .ppt using a Qualtrics template.
Qualtics will deliver one (1) report after all of the Customer's waves of sample have been completed (for a total of 1 report).</t>
  </si>
  <si>
    <t>RSDashboards</t>
  </si>
  <si>
    <t>Qualtrics will configure one (1) dashboard for Customer.
Such a dashboard will include:
1 dashboard in English
1 data source (e.g., 1 survey)
Up to 30 questions or elements (Embedded Data, hidden variables, individual statements in a matrix or similar format)
1 widget per question or element
Up to 10 filters
Up to 10 custom metrics
(CX only) Up to 3 user roles
Such a dashboard will not include:
Advanced widget types (Key Drivers, Pivot Table, etc.)
Weighting
Open end coding
Data import of past data (for trending)
Data stacking
Delivery Team Responsibilities
Conduct initial discovery call with Customer to determine and outline Customer dashboard needs, including layout, widgets, filters, colors, etc.
Create a dashboard design plan that details all pages, widgets, filters, and design details for the proposed dashboard.
Conduct call with Customer to review dashboard design plan and document Customer feedback.
Implement Customer feedback on dashboard design plan and program initial structure for dashboard based on the design plan.
Conduct "first impressions" call with Customer to review initial dashboard structure and document Customer feedback. 
Implement Customer feedback and program full dashboard in the BX platform.
Conduct QA process to ensure correct functionality of dashboard features. 
Deliver dashboard to Customer for User Acceptance Testing (UAT).
Implement Customer UAT feedback.
After receiving written sign off on final dashboard configuration, create a backup copy of the final dashboard in Customer's account.
Customer Responsibilities
Provide any images or video files required in the correct format, resolution, dimensions, and file size. Qualtrics will not source or modify any files.
Answer questions and clarify requirements as needed during the project. 
Review dashboard design plan and "first impressions" dashboard and provide consolidated feedback from relevant stakeholders.
Provide written sign off on the dashboard design plan.
Perform UAT of the dashboard and provide consolidated feedback from relevant stakeholders.
Provide written sign off on final dashboard configuration.
Create users and assign user roles.
Assumptions:
Only existing platform functionality will be used. Requests that are outside of platform functionality or require custom coding will be subject to additional fees and require further scoping by Qualtrics.
Dashboard programming will not begin until Customer has provided written sign off on the dashboard design plan.
After the Qualtrics dashboard is configured and shared for User Acceptance Testing (UAT), Customer may request up to a total of 2 hours of additional programming changes (alterations to the dashboard design plan). Changes requested after this point will be subject to additional fees and further scoping by Qualtrics. All corrections (programmer errors) will be addressed and do not count toward these programming hours.
This scope includes initial programming only and does not include ongoing maintenance or changes to the dashboard.</t>
  </si>
  <si>
    <t>5/11/22 Legal language updated
6/20/22 Pricing rolled back to original 
Aug 18, 22: Pricing updated. Refer to RX Cost Normalization.</t>
  </si>
  <si>
    <t>Ian S. &amp; Emily Currie</t>
  </si>
  <si>
    <t>Erwin G. &amp; Sam B.</t>
  </si>
  <si>
    <t>Build Services template</t>
  </si>
  <si>
    <t>Walker</t>
  </si>
  <si>
    <t>Qualtrics will configure one (1) dashboard for Customer.
Such a dashboard will include:
1 dashboard in English
Up to 2 data sources (e.g., surveys)
Up to 60 questions or elements (Embedded Data, hidden variables, individual statements in a matrix or similar format)
Up to 2 widgets per question or element
Up to 20 filters
Up to 20 custom metrics
(CX only) Up to 3 user roles
Such a dashboard will not include:
Advanced widget types (Key Drivers, Pivot Table, etc.)
Weighting
Open end coding
Data import of past data (for trending)
Data stacking
Delivery Team Responsibilities
Conduct initial discovery call with Customer to determine and outline Customer dashboard needs, including layout, widgets, filters, colors, etc.
Create a dashboard design plan that details all pages, widgets, filters, and design details for the proposed dashboard.
Conduct call with Customer to review dashboard design plan and document Customer feedback.
Implement Customer feedback on dashboard design plan and program initial structure for dashboard based on the design plan.
Conduct "first impressions" call with Customer to review initial dashboard structure and document Customer feedback. 
Implement Customer feedback and program full dashboard in the BX platform.
Conduct QA process to ensure correct functionality of dashboard features. 
Deliver dashboard to Customer for User Acceptance Testing (UAT).
Implement Customer UAT feedback.
After receiving written sign off on final dashboard configuration, create a backup copy of the final dashboard in Customer's account.
Customer Responsibilities
Provide any images or video files required in the correct format, resolution, dimensions, and file size. Qualtrics will not source or modify any files.
Answer questions and clarify requirements as needed during the project. 
Review dashboard design plan and "first impressions" dashboard and provide consolidated feedback from relevant stakeholders.
Provide written sign off on the dashboard design plan.
Perform UAT of the dashboard and provide consolidated feedback from relevant stakeholders.
Provide written sign off on final dashboard configuration.
Create users and assign user roles.
Assumptions:
Only existing platform functionality will be used. Requests that are outside of platform functionality or require custom coding will be subject to additional fees and require further scoping by Qualtrics.
Dashboard programming will not begin until Customer has provided written sign off on the dashboard design plan.
After the Qualtrics dashboard is configured and shared for User Acceptance Testing (UAT), Customer may request up to a total of 3 hours of additional programming changes (alterations to the dashboard design plan). Changes requested after this point will be subject to additional fees and further scoping by Qualtrics. All corrections (programmer errors) will be addressed and do not count toward these programming hours.
This scope includes initial programming only and does not include ongoing maintenance or changes to the dashboard.</t>
  </si>
  <si>
    <t>Qualtrics will configure one (1) dashboard for Customer.
Such a dashboard will include:
1 dashboard in English
Up to 2 data sources (e.g., surveys)
Up to 100 questions or elements (Embedded Data, hidden variables, individual statements in a matrix or similar format)
Up to 2 widgets per question or element
Up to 20 filters
Up to 30 custom metrics
(CX only) Up to 3 user roles
Such a dashboard will not include:
Weighting
Open end coding
Data import of past data (for trending)
Data stacking
Delivery Team Responsibilities
Conduct initial discovery call with Customer to determine and outline Customer dashboard needs, including layout, widgets, filters, colors, etc.
Create a dashboard design plan that details all pages, widgets, filters, and design details for the proposed dashboard.
Conduct call with Customer to review dashboard design plan and document Customer feedback.
Implement Customer feedback on dashboard design plan and program initial structure for dashboard based on the design plan.
Conduct "first impressions" call with Customer to review initial dashboard structure and document Customer feedback. 
Implement Customer feedback and program full dashboard in the BX platform.
Conduct QA process to ensure correct functionality of dashboard features. 
Deliver dashboard to Customer for User Acceptance Testing (UAT).
Implement Customer UAT feedback.
After receiving written sign off on final dashboard configuration, create a backup copy of the final dashboard in Customer's account.
Customer Responsibilities
Provide any images or video files required in the correct format, resolution, dimensions, and file size. Qualtrics will not source or modify any files.
Answer questions and clarify requirements as needed during the project. 
Review dashboard design plan and "first impressions" dashboard and provide consolidated feedback from relevant stakeholders.
Provide written sign off on the dashboard design plan.
Perform UAT of the dashboard and provide consolidated feedback from relevant stakeholders.
Provide written sign off on final dashboard configuration.
Create users and assign user roles.
Assumptions:
Only existing platform functionality will be used. Requests that are outside of platform functionality or require custom coding will be subject to additional fees and require further scoping by Qualtrics.
Dashboard programming will not begin until Customer has provided written sign off on the dashboard design plan.
After the Qualtrics dashboard is configured and shared for User Acceptance Testing (UAT), Customer may request up to a total of 4 hours of additional programming changes (alterations to the dashboard design plan). Changes requested after this point will be subject to additional fees and further scoping by Qualtrics. All corrections (programmer errors) will be addressed and do not count toward these programming hours.
This scope includes initial programming only and does not include ongoing maintenance or changes to the dashboard.</t>
  </si>
  <si>
    <t xml:space="preserve">Sam B. There is also the possibility of renewing/refreshing pre-exisitng dashboards for cleints. I see quite a few instances of this </t>
  </si>
  <si>
    <t>RServOpenEndCode</t>
  </si>
  <si>
    <t>Qualtrics will provide open end coding services.
Such open end coding services will include:
Up to XX responses
1 open end response field (e.g., text box)
Responses must be:
- 1-2 words in length
- Common in Consumer Copy Test and Trackers (shorter, less difficult answers)
- In English
Coding of open ends is conducted outside of the Qualtrics platform and provided to Customer in Excel. It can be imported to the Qualtrics platform as Embedded Data.</t>
  </si>
  <si>
    <t>per coded response</t>
  </si>
  <si>
    <t>Open Ended Coding</t>
  </si>
  <si>
    <t>Ascribe</t>
  </si>
  <si>
    <t>Qualtrics will provide open end coding services.
Such open end coding services will include:
Up to XX responses
1 open end response field (e.g., text box)
Responses must be:
- 1-2 sentences in length
- Common in Customer Satisfaction and Employee Engagement (longer answers)
- In English
Coding of open ends is conducted outside of the Qualtrics platform and provided to Customer in Excel. It can be imported to the Qualtrics platform as Embedded Data.</t>
  </si>
  <si>
    <t>Qualtrics will provide open end coding services.
Such open end coding services will include:
Up to XX responses
1 open end response field (e.g., text box)
Responses must be:
- 1-2 sentences in length
- Medical or other very technical responses
- In English or in-language (non-English) coding
Coding of open ends is conducted outside of the Qualtrics platform and provided to Customer in Excel. It can be imported to the Qualtrics platform as Embedded Data.</t>
  </si>
  <si>
    <t>RServTransBE</t>
  </si>
  <si>
    <t>Qualtrics will provide translations of open end responses.
Such back-end translations will include:
Up to XX words/characters per response in the following languages:
- List languages
Up to X open end response fields (e.g., text box)
Up to XX responses per field
Any changes outside of the above (e.g., if Customer requires more words, more fields, more responses, etc.) will be subject to further scoping and additional costs.
Customer Responsibilities
Review and provide sign off on final translations.
Translation of open ends is conducted outside of the Qualtrics platform and provided to Customer in Excel. It can be imported to the Qualtrics platform as Embedded Data.</t>
  </si>
  <si>
    <t>Translation Back End</t>
  </si>
  <si>
    <t>RServDataTrans</t>
  </si>
  <si>
    <t>RServConjointAdHoc</t>
  </si>
  <si>
    <t>"5/11/22 Legal language updated
6/20/22 Pricing rolled back to original 
Aug 18, 22: Pricing updated. Refer to RX Cost Normalization.
1/12/23: Updated description with feedback from Legal and Ellen</t>
  </si>
  <si>
    <t>Carter R.</t>
  </si>
  <si>
    <t>Sam B. Will take Carter's estimations on these</t>
  </si>
  <si>
    <t>Conjoint Analysis</t>
  </si>
  <si>
    <t>RServMaxDiff</t>
  </si>
  <si>
    <t>"5/11/22 Legal language updated
6/20/22 Pricing rolled back to original 
Aug 18, 22: Pricing updated. Refer to RX Cost Normalization.
1/12/23: Updated description with feedback from legal and Ellen</t>
  </si>
  <si>
    <t>Maxdiff</t>
  </si>
  <si>
    <t>RServTURF</t>
  </si>
  <si>
    <t>TURF Analysis</t>
  </si>
  <si>
    <t>RServKeyDriver</t>
  </si>
  <si>
    <t>Key Driver Analysis</t>
  </si>
  <si>
    <t>RServSegAnalysis</t>
  </si>
  <si>
    <t>Segmentation Analysis</t>
  </si>
  <si>
    <t>Typing Tool Creation (algorithm &amp; add to Qualtrics account)</t>
  </si>
  <si>
    <t>RSTypingToolCreation</t>
  </si>
  <si>
    <t>Nick M. &amp; Carter R.</t>
  </si>
  <si>
    <t>RServOtherFullService</t>
  </si>
  <si>
    <t>Other Full Service</t>
  </si>
  <si>
    <t>Ad-Hoc | Tech Add-Ons</t>
  </si>
  <si>
    <t>VoxPopMe Integration</t>
  </si>
  <si>
    <t>RSVoxPopMe</t>
  </si>
  <si>
    <t>RSiModerate</t>
  </si>
  <si>
    <t>RSDialsmith</t>
  </si>
  <si>
    <t>Affectiva (facial coding)</t>
  </si>
  <si>
    <t>RSFacialCoding</t>
  </si>
  <si>
    <t>EyeSquare (eye tracking)</t>
  </si>
  <si>
    <t>RSEyeTracking</t>
  </si>
  <si>
    <t>Ad-Hoc | Qualitative</t>
  </si>
  <si>
    <t>Screener Development</t>
  </si>
  <si>
    <t>RSScreenerDev</t>
  </si>
  <si>
    <t>Variable</t>
  </si>
  <si>
    <t>Focus Group</t>
  </si>
  <si>
    <t>Echo - MR</t>
  </si>
  <si>
    <t>Discussion Guide Development</t>
  </si>
  <si>
    <t>RSDiscGuideDev</t>
  </si>
  <si>
    <t>Moderation - Phone/Web 1:1s</t>
  </si>
  <si>
    <t>RSPhoneWebInterview</t>
  </si>
  <si>
    <t>Video Interviews</t>
  </si>
  <si>
    <t>Moderation - In-Person 1:1s / Ethnographies</t>
  </si>
  <si>
    <t>RServInPersonPres</t>
  </si>
  <si>
    <t>In Person Presentation</t>
  </si>
  <si>
    <t>Moderation - Focus Groups</t>
  </si>
  <si>
    <t>RServFocusGrp</t>
  </si>
  <si>
    <t>Transcription</t>
  </si>
  <si>
    <t>RSTranscription</t>
  </si>
  <si>
    <t>Facility / Room Rental</t>
  </si>
  <si>
    <t>RSFacility</t>
  </si>
  <si>
    <t>Community Management</t>
  </si>
  <si>
    <t>RServPanelHealth</t>
  </si>
  <si>
    <t>Panel Health Management</t>
  </si>
  <si>
    <t>QPN</t>
  </si>
  <si>
    <t>FuelCycle</t>
  </si>
  <si>
    <t>Krealinks</t>
  </si>
  <si>
    <t>Recruitment from Panels</t>
  </si>
  <si>
    <t>RSRecruitment</t>
  </si>
  <si>
    <t>CPI - Variable</t>
  </si>
  <si>
    <t>Online Sample Custom Recruit</t>
  </si>
  <si>
    <t>Recruitment from Client List</t>
  </si>
  <si>
    <t>CoreXM</t>
  </si>
  <si>
    <t>CoreXM Implementation &amp; Services</t>
  </si>
  <si>
    <t>COR-01</t>
  </si>
  <si>
    <t>COR-02</t>
  </si>
  <si>
    <t>COR-03</t>
  </si>
  <si>
    <t>COR-04</t>
  </si>
  <si>
    <t>Custom XM Solution Build</t>
  </si>
  <si>
    <t>CustomXMSolutions</t>
  </si>
  <si>
    <t>Custom XM Solution Updates</t>
  </si>
  <si>
    <t>XDB-01</t>
  </si>
  <si>
    <t>XAS-01</t>
  </si>
  <si>
    <t>XBU-01</t>
  </si>
  <si>
    <t>XTS-01</t>
  </si>
  <si>
    <t>XDM-01</t>
  </si>
  <si>
    <t>XCT-01</t>
  </si>
  <si>
    <t>BX</t>
  </si>
  <si>
    <t>BX | Implementation</t>
  </si>
  <si>
    <t>BX Implementation</t>
  </si>
  <si>
    <t>BXI-01</t>
  </si>
  <si>
    <t>Paula S. &amp; Gavin J.</t>
  </si>
  <si>
    <t>Bill G.</t>
  </si>
  <si>
    <t>BXI-02</t>
  </si>
  <si>
    <t>BXI-04</t>
  </si>
  <si>
    <t>Internal Data Migration</t>
  </si>
  <si>
    <t>BDM-01</t>
  </si>
  <si>
    <t>Gavin J.</t>
  </si>
  <si>
    <t>External Data Migration</t>
  </si>
  <si>
    <t>BDM-04</t>
  </si>
  <si>
    <t>BX | Additional Services</t>
  </si>
  <si>
    <t>BSR-01</t>
  </si>
  <si>
    <t>Paula S.</t>
  </si>
  <si>
    <t>Survey Design Process</t>
  </si>
  <si>
    <t>BSR-02</t>
  </si>
  <si>
    <t>BSR-04</t>
  </si>
  <si>
    <t>BSD-01</t>
  </si>
  <si>
    <t>BSD-02</t>
  </si>
  <si>
    <t>BSD-04</t>
  </si>
  <si>
    <t>Consultation Services</t>
  </si>
  <si>
    <t>Research Expert</t>
  </si>
  <si>
    <t>RSRXConsult</t>
  </si>
  <si>
    <t>Research Manager</t>
  </si>
  <si>
    <t>XM Scientist</t>
  </si>
  <si>
    <t>RSSME</t>
  </si>
  <si>
    <t>Technology Consultant</t>
  </si>
  <si>
    <t>RSTCConsult</t>
  </si>
  <si>
    <t>BX | Ongoing Services</t>
  </si>
  <si>
    <t>BSG-01</t>
  </si>
  <si>
    <t>"Support on BX Licenses which includes:
Standard Product Support &amp; Customer Success
Quarterly consulting retainer for up to 5 hours per quarter that could be used for:
Minor question or dashboard edits
Data intepretation and consulting
Thought partnership"</t>
  </si>
  <si>
    <t>BSG-02</t>
  </si>
  <si>
    <t>BSG-03</t>
  </si>
  <si>
    <t>BSA-01</t>
  </si>
  <si>
    <t>CX</t>
  </si>
  <si>
    <t>CAHPS</t>
  </si>
  <si>
    <t>HCAHPS</t>
  </si>
  <si>
    <r>
      <rPr>
        <rFont val="Calibri"/>
        <color theme="1"/>
      </rPr>
      <t xml:space="preserve">Custom </t>
    </r>
    <r>
      <rPr>
        <rFont val="Calibri"/>
        <color theme="1"/>
        <sz val="8.0"/>
      </rPr>
      <t>(Generally Vendor Costs at 60% Margin)</t>
    </r>
  </si>
  <si>
    <t xml:space="preserve">(h)        CAHPS. For purposes of clarity only, “CAHPS” may include HCAPHS, OAS CAHPS, HH CAHPS, Hospice CAHPS, ICH_CAHPS, ACO CAHPS, MIPS CAHPS, and Health Plan CAHPS.
(i)        Research Services Responsibilities
(A)        Qualtrics Research Services will administer CAHPS surveys for Customer Health System as outlined below. In compliance with CAHPS protocols, paper surveys will be mailed to eligible patients via a 3rd party mail distribution center for an agreed upon target number of completed surveys annually per facility. Research Services will manage the vendor relationship and provide oversight for all CAHPS protocols. 
(ii)        Vendor Responsibilities
(A)        The vendor will be responsible for all out-going, incoming, and scanning of all 1st and 2nd wave surveys and dispositioning undeliverables, completed surveys and non-respondents.  
(B)        The vendor will provide a monthly data file back to Qualtrics and all completed survey data will be imported into the Qualtrics dashboard for reporting along with any available CAHPS public report benchmark data and submitted to Quality Net monthly for official CAHPS reporting.
(iii)        Customer Responsibilities
(A)        Customer is responsible to transmit all patient files for the survey administration in an encrypted .csv file via secure file transfer protocol (SFTP) weekly, twice per month, or monthly.  Customer is also responsible to send all required data fields as required for corresponding CAHPS program and submit any update files in accordance with CAHPS dates and deadlines.
</t>
  </si>
  <si>
    <t>https://drive.google.com/file/d/1AQ52JQqdmZKITlY2KY1zVAotRrBWKV5L/view?usp=sharing</t>
  </si>
  <si>
    <t>Streamworks</t>
  </si>
  <si>
    <t>MySurveySolutions</t>
  </si>
  <si>
    <t>DG solutions (multi-mode)</t>
  </si>
  <si>
    <t>HHCAHPS</t>
  </si>
  <si>
    <r>
      <rPr>
        <rFont val="Calibri"/>
        <color theme="1"/>
      </rPr>
      <t xml:space="preserve">Custom </t>
    </r>
    <r>
      <rPr>
        <rFont val="Calibri"/>
        <color theme="1"/>
        <sz val="8.0"/>
      </rPr>
      <t>(Generally Vendor Costs at 60% Margin)</t>
    </r>
  </si>
  <si>
    <t xml:space="preserve">(h)	CAHPS. For purposes of clarity only, “CAHPS” may include HCAPHS, OAS CAHPS, HH CAHPS, Hospice CAHPS, ICH_CAHPS, ACO CAHPS, MIPS CAHPS, and Health Plan CAHPS.
(i)	Research Services Responsibilities
(A)	Qualtrics Research Services will administer CAHPS surveys for Customer Health System as outlined below. In compliance with CAHPS protocols, paper surveys will be mailed to eligible patients via a 3rd party mail distribution center for an agreed upon target number of completed surveys annually per facility. Research Services will manage the vendor relationship and provide oversight for all CAHPS protocols. 
(ii)	Vendor Responsibilities
(A)	The vendor will be responsible for all out-going, incoming, and scanning of all 1st and 2nd wave surveys and dispositioning undeliverables, completed surveys and non-respondents.  
(B)	The vendor will provide a monthly data file back to Qualtrics and all completed survey data will be imported into the Qualtrics dashboard for reporting along with any available CAHPS public report benchmark data and submitted to Quality Net monthly for official CAHPS reporting.
(iii)	Customer Responsibilities
(A)	Customer is responsible to transmit all patient files for the survey administration in an encrypted .csv file via secure file transfer protocol (SFTP) weekly, twice per month, or monthly.  Customer is also responsible to send all required data fields as required for corresponding CAHPS program and submit any update files in accordance with CAHPS dates and deadlines.
</t>
  </si>
  <si>
    <t>OAS CAHPS</t>
  </si>
  <si>
    <r>
      <rPr>
        <rFont val="Calibri"/>
        <color theme="1"/>
      </rPr>
      <t xml:space="preserve">Custom </t>
    </r>
    <r>
      <rPr>
        <rFont val="Calibri"/>
        <color theme="1"/>
        <sz val="8.0"/>
      </rPr>
      <t>(Generally Vendor Costs at 60% Margin)</t>
    </r>
  </si>
  <si>
    <t>ICHCAHPS</t>
  </si>
  <si>
    <r>
      <rPr>
        <rFont val="Calibri"/>
        <color theme="1"/>
      </rPr>
      <t xml:space="preserve">Custom </t>
    </r>
    <r>
      <rPr>
        <rFont val="Calibri"/>
        <color theme="1"/>
        <sz val="8.0"/>
      </rPr>
      <t>(Generally Vendor Costs at 60% Margin)</t>
    </r>
  </si>
  <si>
    <t>Hospice CAHPS</t>
  </si>
  <si>
    <r>
      <rPr>
        <rFont val="Calibri"/>
        <color theme="1"/>
      </rPr>
      <t xml:space="preserve">Custom </t>
    </r>
    <r>
      <rPr>
        <rFont val="Calibri"/>
        <color theme="1"/>
        <sz val="8.0"/>
      </rPr>
      <t>(Generally Vendor Costs at 60% Margin)</t>
    </r>
  </si>
  <si>
    <t>Health Plan CAHPS</t>
  </si>
  <si>
    <r>
      <rPr>
        <rFont val="Calibri"/>
        <color theme="1"/>
      </rPr>
      <t xml:space="preserve">Custom </t>
    </r>
    <r>
      <rPr>
        <rFont val="Calibri"/>
        <color theme="1"/>
        <sz val="8.0"/>
      </rPr>
      <t>(Generally Vendor Costs at 60% Margin)</t>
    </r>
  </si>
  <si>
    <t>CGCAHPS</t>
  </si>
  <si>
    <r>
      <rPr>
        <rFont val="Calibri"/>
        <color theme="1"/>
      </rPr>
      <t xml:space="preserve">Custom </t>
    </r>
    <r>
      <rPr>
        <rFont val="Calibri"/>
        <color theme="1"/>
        <sz val="8.0"/>
      </rPr>
      <t>(Generally Vendor Costs at 60% Margin)</t>
    </r>
  </si>
  <si>
    <t xml:space="preserve">Additional survey and analysis features sourced through our network technology partners. </t>
  </si>
  <si>
    <t>XM Solution / DIY Integration</t>
  </si>
  <si>
    <r>
      <rPr>
        <rFont val="Arial"/>
        <color rgb="FF000000"/>
        <sz val="12.0"/>
      </rPr>
      <t xml:space="preserve">Quickly obtain rich qualitative feedback through consumer-recorded video interviews and analysis provided by Voxpopme.
</t>
    </r>
    <r>
      <rPr>
        <rFont val="Arial"/>
        <color rgb="FF1155CC"/>
        <sz val="12.0"/>
        <u/>
      </rPr>
      <t>https://www.qualtrics.com/marketplace/vox-pop-me-integration/</t>
    </r>
  </si>
  <si>
    <t xml:space="preserve">Running VoxPopMe video open ends through Qualtrics' VoxPopMe account. Assume 30-60 seconds per response.
Note, if client has their own account, then VoxPopMe is a standard integration fee of $1500. 
</t>
  </si>
  <si>
    <t>Add-on - payment to VoxPopMe</t>
  </si>
  <si>
    <t>$55 per minute + any incentives</t>
  </si>
  <si>
    <t>Base price to set-up w/ report for 20 chats. Study must have high IR (50%+) and a large portion of respondents eligible for these conversations (else the live moderators will be working without respondents coming through and we still need to pay)
Used for live text-based conversations directed from a quant study
Rules of Thumb:
- Moderators are live and waiting for respondents coming from quant
- Conversations typically last 20-30 minutes</t>
  </si>
  <si>
    <t>Custom quote if the sudy has low IR studies, less than half of respondents will likely be eligible for a chat, or you need for a report based on over 20 chats.
Used for live text-based conversations directed from a quant study
Rules of Thumb:
- Moderators are live and waiting for respondents coming from quant
- Conversations typically last 20-30 minutes</t>
  </si>
  <si>
    <r>
      <rPr>
        <rFont val="Arial"/>
        <color rgb="FF000000"/>
        <sz val="12.0"/>
      </rPr>
      <t xml:space="preserve">Dialsmith’s online dial testing supports the testing of any recorded video or audio and respondents use a 'dial' to say how much they like or dislike each second.
</t>
    </r>
    <r>
      <rPr>
        <rFont val="Arial"/>
        <b/>
        <color rgb="FF000000"/>
        <sz val="12.0"/>
      </rPr>
      <t>For a video (1) up to 5 minutes in length</t>
    </r>
    <r>
      <rPr>
        <rFont val="Arial"/>
        <color rgb="FF000000"/>
        <sz val="12.0"/>
      </rPr>
      <t>. First 100 completes included in the base price, each complete thereafter $5 per complete.</t>
    </r>
  </si>
  <si>
    <r>
      <rPr>
        <rFont val="Arial"/>
        <color rgb="FF000000"/>
        <sz val="12.0"/>
      </rPr>
      <t xml:space="preserve">Dialsmith’s online dial testing supports the testing of any recorded video or audio and respondents use a 'dial' to say how much they like or dislike each second.
</t>
    </r>
    <r>
      <rPr>
        <rFont val="Arial"/>
        <b/>
        <color rgb="FF000000"/>
        <sz val="12.0"/>
      </rPr>
      <t>For a two videos (2) up to 5 minutes in length each</t>
    </r>
    <r>
      <rPr>
        <rFont val="Arial"/>
        <color rgb="FF000000"/>
        <sz val="12.0"/>
      </rPr>
      <t>. First 100 completes included in the base price, each complete thereafter $5 per complete.</t>
    </r>
  </si>
  <si>
    <r>
      <rPr>
        <rFont val="Arial"/>
        <color rgb="FF000000"/>
        <sz val="12.0"/>
      </rPr>
      <t xml:space="preserve">Dialsmith’s online dial testing supports the testing of any recorded video or audio and respondents use a 'dial' to say how much they like or dislike each second.
</t>
    </r>
    <r>
      <rPr>
        <rFont val="Arial"/>
        <b/>
        <color rgb="FF000000"/>
        <sz val="12.0"/>
      </rPr>
      <t>For a three videos (3) up to 5 minutes in length each</t>
    </r>
    <r>
      <rPr>
        <rFont val="Arial"/>
        <color rgb="FF000000"/>
        <sz val="12.0"/>
      </rPr>
      <t>. First 100 completes included in the base price, each complete thereafter $5 per complete.</t>
    </r>
  </si>
  <si>
    <t>More than 3 videos or videos longer than 5 minutes in length.</t>
  </si>
  <si>
    <t>$5,250 + $5/complete after first 100/video</t>
  </si>
  <si>
    <t>$9,000 + $5/complete after first 100/video</t>
  </si>
  <si>
    <t>$12,750 + $5/complete after first 100/video</t>
  </si>
  <si>
    <t>Emotion measurement technology which codes emotions based on facial expressions. Often used in ad, package, or concept tests.</t>
  </si>
  <si>
    <r>
      <rPr>
        <rFont val="Arial"/>
        <color rgb="FF000000"/>
        <sz val="12.0"/>
      </rPr>
      <t xml:space="preserve">Eye tracking for ad testing, videos, social media, shelf tests, etc.
More info: </t>
    </r>
    <r>
      <rPr>
        <rFont val="Arial"/>
        <color rgb="FF1155CC"/>
        <sz val="12.0"/>
        <u/>
      </rPr>
      <t>https://drive.google.com/drive/folders/1_VgfzOq2to1ottuF2YQKzWzJq9AofCY1</t>
    </r>
  </si>
  <si>
    <t>See Panel Sample - Geo-Fencing / Location Based or Panel Sample - Passive Metering</t>
  </si>
  <si>
    <t>Usertesting.com?</t>
  </si>
  <si>
    <t>Not currently available</t>
  </si>
  <si>
    <t>Partnership just signed - tbd</t>
  </si>
  <si>
    <t>Qualitative Research is primarily exploratory research often used to gain an understanding of underlying reasons, opinions, and motivations. It provides insights into the problem, helps to develop ideas or hypotheses for potential quantitative research, or helps add color and additional detail to findings in quantitative research.</t>
  </si>
  <si>
    <r>
      <rPr>
        <rFont val="Arial"/>
        <color rgb="FF000000"/>
        <sz val="12.0"/>
      </rPr>
      <t xml:space="preserve">B2B or B2C Sample through Online Panel Partners with up to 3 quotas on </t>
    </r>
    <r>
      <rPr>
        <rFont val="Calibri"/>
        <color rgb="FF000000"/>
        <sz val="12.0"/>
        <u/>
      </rPr>
      <t>completes</t>
    </r>
  </si>
  <si>
    <t>(CPI * 2.5 + $2) / complete</t>
  </si>
  <si>
    <t>QRP-01</t>
  </si>
  <si>
    <t>QRP-02</t>
  </si>
  <si>
    <t>QRP-03</t>
  </si>
  <si>
    <t>Standard list-send qualifying and having respondents opt-in to future work. Importing into XM Directory, includes:
Standard invite (no custom formatting required, client provides messaging, client provides invite for branded (in Qualtrics or word))
Screener and Quota Setup included (simple)
1-2 distributions (e.g., soft launch group and full launch group), up to 2 reminders per group, and a Thank You message (optional)
Total list size up to 100,000 recipients, with real-time send or scheduling</t>
  </si>
  <si>
    <t>Note: Led by Vendor</t>
  </si>
  <si>
    <t>QRL-01</t>
  </si>
  <si>
    <t>Development of a qualitative screener to help with respondent recruitment</t>
  </si>
  <si>
    <t>QSD-01</t>
  </si>
  <si>
    <t>Creation of a discussion guide for IDIs, focus groups, or other qualitative research</t>
  </si>
  <si>
    <t>QDG-01</t>
  </si>
  <si>
    <t>Professional moderation of telephone or web 1:1 interviews, based on a discussion guide</t>
  </si>
  <si>
    <t>QMP-01</t>
  </si>
  <si>
    <t>Professional moderation of in-person interviews, based on a discussion guide. Moderator travel and expenses not included.</t>
  </si>
  <si>
    <t>QMI-01</t>
  </si>
  <si>
    <t>Professional moderation of in-person focus groups, based on a discussion guide. Moderator travel and expenses not included.</t>
  </si>
  <si>
    <t>QMF-01</t>
  </si>
  <si>
    <t>Transcription of audio recordings to text files. Provided in English.</t>
  </si>
  <si>
    <t>QTR-01</t>
  </si>
  <si>
    <t>Rental of a room for focus groups on in-person qualitative research</t>
  </si>
  <si>
    <t>QFR-01</t>
  </si>
  <si>
    <t>Management of an existing community, housed on an external platform such as FuelCycle or Krealinks. This is for community management only - recruitment, creation of community surveys or qualitative activities, moderation, and incentives would be extra.</t>
  </si>
  <si>
    <t>Note: Client must have a community platform independent of Qualtrics, such as QPN partners FuelCycle or Krealinks.
Note: Qualtrics to handle recruitment and quant surveys, but community to be managed by vendor.</t>
  </si>
  <si>
    <t>QCM-01</t>
  </si>
  <si>
    <t>Additional Items need to get long term</t>
  </si>
  <si>
    <t>SOW language per service</t>
  </si>
  <si>
    <t>Pricing</t>
  </si>
  <si>
    <t>Salesforce/CPQ</t>
  </si>
  <si>
    <t>mavenlink templates</t>
  </si>
  <si>
    <t>including who responsible for it</t>
  </si>
  <si>
    <t>Variables for small,medium,large and internal costs to deliver</t>
  </si>
  <si>
    <t>How get critical data from this / CPQ into the project and mavenlink</t>
  </si>
  <si>
    <t>What info needs to get into the survey itself in the platform - like if data collection then add these variables to Survey (using Survey ID)</t>
  </si>
  <si>
    <t>How data structured so Q platform can take it in and add items / template survey instead of fresh build? tabs? embedded data?</t>
  </si>
  <si>
    <t>Automated pre-sales / proposals?</t>
  </si>
  <si>
    <t>Transition from previous catalog</t>
  </si>
  <si>
    <t>PM Point system - use current one</t>
  </si>
  <si>
    <t>Intake Form</t>
  </si>
  <si>
    <t>- next step so we get these inputs</t>
  </si>
  <si>
    <t>things like country, quotas, etc.</t>
  </si>
  <si>
    <t>What are the other variables / information we want to capture</t>
  </si>
  <si>
    <t>Need to be able to understand why items are custom, what services often paired with other variables</t>
  </si>
  <si>
    <t>---- CLient Type, Tier, Use Case, etc.</t>
  </si>
  <si>
    <t>Core</t>
  </si>
  <si>
    <t>Develop list of services</t>
  </si>
  <si>
    <t>Complete</t>
  </si>
  <si>
    <t>In-Progress</t>
  </si>
  <si>
    <t>Develop packages/bundles</t>
  </si>
  <si>
    <t>Pricing (recommended)</t>
  </si>
  <si>
    <t>Legal</t>
  </si>
  <si>
    <t>Not started</t>
  </si>
  <si>
    <t>Into CPQ/SFDC</t>
  </si>
  <si>
    <t>Not started - April</t>
  </si>
  <si>
    <t>Into SA/Scope Survey</t>
  </si>
  <si>
    <t>EMEA input on services</t>
  </si>
  <si>
    <t>APJ input on services</t>
  </si>
  <si>
    <t>Vendor alignment</t>
  </si>
  <si>
    <t>Roll-out revised list to sales</t>
  </si>
  <si>
    <t>Roll-out revised list to SAs</t>
  </si>
  <si>
    <t>Position</t>
  </si>
  <si>
    <t>USA</t>
  </si>
  <si>
    <t>EMEA</t>
  </si>
  <si>
    <t>APJ</t>
  </si>
  <si>
    <t>L1/L2 PM</t>
  </si>
  <si>
    <t>L3/L4 PM</t>
  </si>
  <si>
    <t>L1/L2 RS</t>
  </si>
  <si>
    <t>L3/L4 RA</t>
  </si>
  <si>
    <t>L5+ RM</t>
  </si>
  <si>
    <t>TC</t>
  </si>
  <si>
    <t>Sample</t>
  </si>
  <si>
    <t xml:space="preserve">(a)        Sample Services. For purposes of clarity only, “Sample Services” may include survey integration to correctly capture and incentivize qualified respondents, gathering respondents for Customer’s survey, and project management to share status updates and answer questions.
(i)        Customer is not permitted to collect any panel member’s personal information, such as name, email address, physical address, or phone number (“Personal Information”), without Qualtrics’ prior written consent. Where Customer collects Personal Information, Qualtrics is strictly a data processor, not a data controller, for the processing of the data in order to provide the Services. Each Party shall comply with applicable laws, rules, and regulations, including applicable data privacy laws (in Qualtrics’ case, as a data processor, and in Customer’s case, as a data controller).
(ii)        Qualtrics is not required to disclose to Customer any Personal Information of respondents related to the Project, except as permitted by law and in accordance with this Research Services Exhibit, in which case Customer shall maintain the confidentiality of any Personal Information disclosed to it. Customer shall comply with all applicable laws related to the data collected from respondents.
(iii)        Qualtrics will invite respondents to complete the online survey in return for incentives/cash honorarium.
(iv)        Qualtrics will review quotas and screeners, add redirects, and approve the survey prior to launching to targeted respondents. This does not include reviewing additional skip logic or display logic, unless otherwise agreed.
(v)        Unless otherwise specified herein, the location of all targeted respondents shall be at Qualtrics’ sole discretion.
(vi)        Any criteria that Customer intends to use to judge the validity of qualifying completes (e.g., minimum time spent in survey and attention filters) must be approved by Qualtrics prior to launch. Any requests or changes to qualified respondent criteria beyond the original scope of this Research Services Exhibit will need to be scoped and may impact costs, feasibility, and timelines.
(vii)        Unless specified to the Qualtrics project manager before data collection begins, Qualtrics will not record partial completes for this Project in Customer’s Qualtrics account. These partial completes will not count against the total good completes (n) requested for the Project. Respondents who do not meet the qualifying criteria outlined in the panel demographics of the Research Services Exhibit will be screened out of the survey and will not count towards the total number of paid responses (n) for the Project.
(viii)        Sample pricing is based on certain response volumes. Any Customer-requested changes (including decreases) to the actual response volumes in the original Project scope may result in an increased cost per interview, adjusted feasibility, or extended timelines for the completed responses. 
</t>
  </si>
  <si>
    <t>Front End Services</t>
  </si>
  <si>
    <t xml:space="preserve">(b)        Front-End Services. For purposes of clarity only, “Front-End Services” may include survey design, survey review, and survey build.
(i)        Qualtrics will provide the agreed to survey methodology, survey design, and qualifying question syntax to Customer.
(ii)        Qualtrics will be responsible for building the survey as agreed to herein.
(iii)        Survey Design. If the Project includes survey design by the Qualtrics Expert Method team as specified in the Project description, Qualtrics will manage the design and program the survey directly into the Qualtrics platform. Survey design work will not exceed 40 hours unless otherwise agreed. If the work exceeds assigned hours, there may be an additional fee. Customer will provide competitor lists, images, media, or visualizations required for the survey.
(A)        Steps for survey design: 
(1)        Kick-off call (where required) to discuss research objectives
(2)        Qualtrics will program survey draft in Qualtrics platform and send link to Customer.
(3)        Customer may review the look and feel along with the survey wording.
(4)        Qualtrics will incorporate Customer feedback.
(5)        Customer will provide final sign off.
(6)        Qualtrics will move the survey into the Customer’s Qualtrics account.
(B)        Deliverables included in survey design: 
(1)        Finalized survey uploaded into the Customer’s Qualtrics account.
(2)        Review of soft launch data.
(iv)        Survey Review. If the Project includes survey review by the Qualtrics Expert Method team as specified in the Project description, Qualtrics will review a completed survey instrument provided by the Customer. Survey review work will not exceed 25 hours unless otherwise agreed. If the work exceeds assigned hours, there may be an additional fee. Survey review is a methodological review, not a technical review/review of survey logic or programming.
(A)        Steps for survey review
(1)        Customer will provide a complete version of the survey instrument in Qualtrics, Word, Excel, or similar document.
(2)        Kick-off call (if required) to discuss research objectives. 
(3)        Qualtrics will conduct a methodological survey review and deliver a 1-2 page document outlining major themes and specific areas of proposed improvements.
(4)        The parties may schedule an additional call if there are outstanding questions.
(B)        Deliverables included in survey review:
(1)        A revised version of the survey and a 1-2 page document outlining major themes and specific areas or proposed improvements.
(v)        Survey Iterations. If the Project includes survey iterations as specified in the Project description, if the Qualtrics Expert Method team previously managed the design and programming of the survey, a methodologist will review the collected data and discuss any potential required survey updates. The Customer will review the look and feel of the survey in addition to the survey wording. Qualtrics will incorporate any feedback from the Customer into the survey before finalizing and uploading into the Customer’s Qualtrics account. Survey iteration work will not exceed 10 hours. If the work exceeds 10 hours, there may be an additional fee.
(A)        Deliverables included in survey iterations:
(1)        Updated survey into the Customer’s Qualtrics account.
(vi)        Translations – Front End. Any pricing provided for translations before a survey is finalized is only an estimate, and if the final survey word count is significantly higher than estimated, prices may increase. If changes are made to the survey after translations begin, there will be additional fees and timeline will increase. Customer will provide any feedback on the translation to Qualtrics in a standardized feedback template provided by Qualtrics.
</t>
  </si>
  <si>
    <t>Back end Services</t>
  </si>
  <si>
    <t xml:space="preserve">(c)	Back-End Services. For purposes of clarity only, “Back-End Services” may include open-ended coding, cross tabulation, transposing, weighting, data scrubbing, multivariate analysis, creating topline reports, creating executive summaries, creating full reports, creating presentations, or readouts.
(i)	Qualtrics will be responsible for the agreed to data analysis and other data interpretation/presentation work.
(ii)	Translations – Back End. Any pricing provided for translations before a survey is finalized is only an estimate, as word count may change, and if the final survey word count is significantly higher than estimated, prices may increase. If changes are made to the survey after translations begin, there will be additional fees and timeline will increase. The final deliverable for back-end translations will be a .csv file. Additional fees will apply to upload back-end translations into the Customer's Qualtrics account.
(iii)	Data Scrub. If the Project includes data scrub services as specified in the Project description, Qualtrics will review the data gathered and determine if any of the respondents have provided poor data, which may involve flagging respondents who straight-line through the survey, respond in gibberish, or speed through the survey.
(iv)	Executive Summary. If the Project includes an executive summary as specified in the Project description, Qualtrics will provide a report of 2-7 pages or slides outlining the high-level findings of the data provided. If the scope of the report changes after work has been started, pricing may be adjusted.
</t>
  </si>
  <si>
    <t xml:space="preserve">(d)        List Send Services. For purposes of clarity only, “List Send Services” may include distributing invites/reminders to Customer’s list of targeted respondents and sending fielding updates.
(i)        Unless otherwise agreed, Qualtrics will send Customer’s survey out via email contacts provided by Customer. Qualtrics is not responsible for the response rate or quality of the list provided and is only responsible for distribution.
(ii)        Customer is responsible for providing the respondent list (with email addresses), “From [name]” information, reply-to email addresses, subject line, email text, and reminder text (if applicable). 
(iii)        Qualtrics will review quotas and screeners, add redirects, and approve the survey prior to launching to targeted respondents. This does not include reviewing additional skip logic or display logic, unless otherwise agreed.
(iv)        All survey list sends must originate from Customer’s Qualtrics account unless otherwise agreed.
(v)        Customer will provide a “Reply-to” email address for Qualtrics to setup the email distribution. Customer will manage all respondent requests, follow-ups, and queries unless otherwise agreed to by Qualtrics. Where Qualtrics agrees to manage any respondent requests, follow-ups and queries, this shall be done solely based on Customer’s instructions as detailed in the Project description, and Qualtrics will notify Customer of any Data Subject Requests received from respondents, and Customer will be responsible for responding to the Data Subject Request in relation to all other aspects of the Qualtrics services. “Data Subject Request” means a request from a data subject relating to access to, or rectification, erasure, or data portability in respect of, that data subject’s Personal Information, or an objection from or on behalf of a data subject to the processing of its Personal Information.
(vi)        Unless specified to the Qualtrics project manager before data collection begins, Qualtrics will not record partial completes for this Project in Customer’s Qualtrics account. These partial completes will not count against the total good completes (n) requested for the Project.
</t>
  </si>
  <si>
    <t xml:space="preserve">(e)	Incentive Management. For purposes of clarity only, “Incentive Management Services” may include gift-card distribution and drawings.
(i)	Qualtrics will manage incentive distribution to Customer’s survey via e-gift cards. Qualtrics is not responsible for the response rate or quality of the list provided and is only responsible for distribution. Such e-gift cards are subject to the terms and conditions specified by the third-party provider (“Distributor”) of the e-gift card. By purchasing an incentive distribution, Customer will acquire the right to send e-gift cards ("Gift Cards") to recipients to redeem a Gift Card from Distributor. Any service fee retained by Qualtrics from the distribution of Gift Cards is compensation to Qualtrics for administering the Gift Cards on behalf of Customer. As the distributor of the Gift Cards, Distributor shall be fully responsible for any and all liabilities, caused in whole or in part by Distributor, as well as for any liabilities arising from any regulatory action. Qualtrics does not make any warranty in relation to the Gift Cards, including their validity or value. Qualtrics is not a party to any transaction that the Distributor (or Gift Card merchant) and Customer (or recipients of the Gift Cards) may enter into as a result of Customer purchasing this service.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</si>
</sst>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quot;$&quot;#,##0.00"/>
    <numFmt numFmtId="166" formatCode="&quot;$&quot;#,##0.000"/>
    <numFmt numFmtId="167" formatCode="&quot;$&quot;#,##0.0"/>
  </numFmts>
  <fonts count="57">
    <font>
      <sz val="12.0"/>
      <color theme="1"/>
      <name val="Calibri"/>
      <scheme val="minor"/>
    </font>
    <font>
      <sz val="12.0"/>
      <color rgb="FF000000"/>
      <name val="Arial"/>
    </font>
    <font>
      <sz val="18.0"/>
      <color rgb="FF000000"/>
      <name val="Arial"/>
    </font>
    <font>
      <b/>
      <sz val="12.0"/>
      <color rgb="FF000000"/>
      <name val="Arial"/>
    </font>
    <font>
      <u/>
      <sz val="12.0"/>
      <color rgb="FF0768DD"/>
      <name val="Arial"/>
    </font>
    <font>
      <u/>
      <sz val="12.0"/>
      <color rgb="FF0768DD"/>
      <name val="Arial"/>
    </font>
    <font>
      <sz val="18.0"/>
      <color rgb="FFFFFFFF"/>
      <name val="Arial"/>
    </font>
    <font>
      <color theme="1"/>
      <name val="Calibri"/>
      <scheme val="minor"/>
    </font>
    <font/>
    <font>
      <b/>
      <sz val="14.0"/>
      <color rgb="FF000000"/>
      <name val="Arial"/>
    </font>
    <font>
      <sz val="12.0"/>
      <color rgb="FF0768DD"/>
      <name val="Arial"/>
    </font>
    <font>
      <sz val="12.0"/>
      <color rgb="FFFF0000"/>
      <name val="Arial"/>
    </font>
    <font>
      <i/>
      <sz val="10.0"/>
      <color rgb="FF000000"/>
      <name val="Arial"/>
    </font>
    <font>
      <b/>
      <sz val="12.0"/>
      <color rgb="FFFFFFFF"/>
      <name val="Arial"/>
    </font>
    <font>
      <sz val="12.0"/>
      <color rgb="FFFFFFFF"/>
      <name val="Arial"/>
    </font>
    <font>
      <i/>
      <sz val="8.0"/>
      <color rgb="FFFF0000"/>
      <name val="Arial"/>
    </font>
    <font>
      <sz val="8.0"/>
      <color rgb="FF000000"/>
      <name val="Arial"/>
    </font>
    <font>
      <sz val="8.0"/>
      <color rgb="FFFF0000"/>
      <name val="Arial"/>
    </font>
    <font>
      <u/>
      <sz val="12.0"/>
      <color rgb="FF1155CC"/>
      <name val="Arial"/>
    </font>
    <font>
      <u/>
      <sz val="12.0"/>
      <color rgb="FFFFFFFF"/>
      <name val="Arial"/>
    </font>
    <font>
      <u/>
      <sz val="12.0"/>
      <color rgb="FF000000"/>
      <name val="Arial"/>
    </font>
    <font>
      <u/>
      <sz val="12.0"/>
      <color rgb="FF000000"/>
      <name val="Arial"/>
    </font>
    <font>
      <u/>
      <sz val="12.0"/>
      <color rgb="FF000000"/>
      <name val="Arial"/>
    </font>
    <font>
      <i/>
      <sz val="12.0"/>
      <color rgb="FF000000"/>
      <name val="Arial"/>
    </font>
    <font>
      <i/>
      <sz val="8.0"/>
      <color rgb="FF000000"/>
      <name val="Arial"/>
    </font>
    <font>
      <u/>
      <sz val="12.0"/>
      <color rgb="FF1155CC"/>
      <name val="Arial"/>
    </font>
    <font>
      <sz val="10.0"/>
      <color rgb="FF000000"/>
      <name val="Arial"/>
    </font>
    <font>
      <u/>
      <sz val="12.0"/>
      <color rgb="FF000000"/>
      <name val="Arial"/>
    </font>
    <font>
      <sz val="9.0"/>
      <color rgb="FF000000"/>
      <name val="Arial"/>
    </font>
    <font>
      <u/>
      <sz val="12.0"/>
      <color rgb="FF000000"/>
      <name val="Arial"/>
    </font>
    <font>
      <strike/>
      <sz val="12.0"/>
      <color rgb="FF000000"/>
      <name val="Arial"/>
    </font>
    <font>
      <strike/>
      <u/>
      <sz val="12.0"/>
      <color rgb="FF000000"/>
      <name val="Arial"/>
    </font>
    <font>
      <b/>
      <strike/>
      <u/>
      <sz val="12.0"/>
      <color rgb="FF000000"/>
      <name val="Arial"/>
    </font>
    <font>
      <u/>
      <sz val="12.0"/>
      <color rgb="FF000000"/>
      <name val="Arial"/>
    </font>
    <font>
      <b/>
      <sz val="11.0"/>
      <color rgb="FF000000"/>
      <name val="Arial"/>
    </font>
    <font>
      <sz val="11.0"/>
      <color rgb="FF000000"/>
      <name val="Arial"/>
    </font>
    <font>
      <sz val="12.0"/>
      <color theme="1"/>
      <name val="Calibri"/>
    </font>
    <font>
      <u/>
      <sz val="12.0"/>
      <color rgb="FF000000"/>
      <name val="Arial"/>
    </font>
    <font>
      <b/>
      <sz val="12.0"/>
      <color rgb="FF000000"/>
      <name val="Calibri"/>
    </font>
    <font>
      <sz val="12.0"/>
      <color rgb="FF000000"/>
      <name val="Calibri"/>
    </font>
    <font>
      <sz val="10.0"/>
      <color rgb="FF000000"/>
      <name val="Calibri"/>
    </font>
    <font>
      <u/>
      <sz val="12.0"/>
      <color rgb="FF1155CC"/>
      <name val="Calibri"/>
    </font>
    <font>
      <sz val="8.0"/>
      <color rgb="FF000000"/>
      <name val="Calibri"/>
    </font>
    <font>
      <color theme="1"/>
      <name val="Calibri"/>
    </font>
    <font>
      <color theme="1"/>
      <name val="Arial"/>
    </font>
    <font>
      <color theme="1"/>
      <name val="Proxima Nova"/>
    </font>
    <font>
      <sz val="12.0"/>
      <color rgb="FFF1C232"/>
      <name val="Calibri"/>
    </font>
    <font>
      <b/>
      <sz val="8.0"/>
      <color rgb="FF000000"/>
      <name val="Calibri"/>
    </font>
    <font>
      <color rgb="FF000000"/>
      <name val="Calibri"/>
    </font>
    <font>
      <strike/>
      <sz val="12.0"/>
      <color rgb="FF000000"/>
      <name val="Calibri"/>
    </font>
    <font>
      <strike/>
      <sz val="8.0"/>
      <color rgb="FF000000"/>
      <name val="Calibri"/>
    </font>
    <font>
      <u/>
      <sz val="12.0"/>
      <color rgb="FF000000"/>
      <name val="Calibri"/>
    </font>
    <font>
      <sz val="8.0"/>
      <color theme="1"/>
      <name val="Calibri"/>
    </font>
    <font>
      <u/>
      <sz val="8.0"/>
      <color rgb="FF1155CC"/>
      <name val="Calibri"/>
    </font>
    <font>
      <u/>
      <sz val="12.0"/>
      <color rgb="FF000000"/>
      <name val="Arial"/>
    </font>
    <font>
      <u/>
      <sz val="12.0"/>
      <color rgb="FF000000"/>
      <name val="Arial"/>
    </font>
    <font>
      <b/>
      <color theme="1"/>
      <name val="Calibri"/>
    </font>
  </fonts>
  <fills count="18">
    <fill>
      <patternFill patternType="none"/>
    </fill>
    <fill>
      <patternFill patternType="lightGray"/>
    </fill>
    <fill>
      <patternFill patternType="solid">
        <fgColor rgb="FFACAFAC"/>
        <bgColor rgb="FFACAFAC"/>
      </patternFill>
    </fill>
    <fill>
      <patternFill patternType="solid">
        <fgColor rgb="FFFFFFFF"/>
        <bgColor rgb="FFFFFFFF"/>
      </patternFill>
    </fill>
    <fill>
      <patternFill patternType="solid">
        <fgColor rgb="FFE1E2DC"/>
        <bgColor rgb="FFE1E2DC"/>
      </patternFill>
    </fill>
    <fill>
      <patternFill patternType="solid">
        <fgColor rgb="FF9900FF"/>
        <bgColor rgb="FF9900FF"/>
      </patternFill>
    </fill>
    <fill>
      <patternFill patternType="solid">
        <fgColor rgb="FFD9D2E9"/>
        <bgColor rgb="FFD9D2E9"/>
      </patternFill>
    </fill>
    <fill>
      <patternFill patternType="solid">
        <fgColor rgb="FFF3F3F3"/>
        <bgColor rgb="FFF3F3F3"/>
      </patternFill>
    </fill>
    <fill>
      <patternFill patternType="solid">
        <fgColor rgb="FF5F1AE5"/>
        <bgColor rgb="FF5F1AE5"/>
      </patternFill>
    </fill>
    <fill>
      <patternFill patternType="solid">
        <fgColor rgb="FF21DBAA"/>
        <bgColor rgb="FF21DBAA"/>
      </patternFill>
    </fill>
    <fill>
      <patternFill patternType="solid">
        <fgColor rgb="FFB5B5E5"/>
        <bgColor rgb="FFB5B5E5"/>
      </patternFill>
    </fill>
    <fill>
      <patternFill patternType="solid">
        <fgColor rgb="FF000000"/>
        <bgColor rgb="FF000000"/>
      </patternFill>
    </fill>
    <fill>
      <patternFill patternType="solid">
        <fgColor rgb="FFD9EAD3"/>
        <bgColor rgb="FFD9EAD3"/>
      </patternFill>
    </fill>
    <fill>
      <patternFill patternType="solid">
        <fgColor rgb="FFEA9999"/>
        <bgColor rgb="FFEA9999"/>
      </patternFill>
    </fill>
    <fill>
      <patternFill patternType="solid">
        <fgColor rgb="FFB6D7A8"/>
        <bgColor rgb="FFB6D7A8"/>
      </patternFill>
    </fill>
    <fill>
      <patternFill patternType="solid">
        <fgColor rgb="FFFFF2CC"/>
        <bgColor rgb="FFFFF2CC"/>
      </patternFill>
    </fill>
    <fill>
      <patternFill patternType="solid">
        <fgColor rgb="FFFFFF00"/>
        <bgColor rgb="FFFFFF00"/>
      </patternFill>
    </fill>
    <fill>
      <patternFill patternType="solid">
        <fgColor theme="9"/>
        <bgColor theme="9"/>
      </patternFill>
    </fill>
  </fills>
  <borders count="27">
    <border/>
    <border>
      <left/>
      <right/>
      <top/>
      <bottom/>
    </border>
    <border>
      <left/>
      <right/>
      <top/>
    </border>
    <border>
      <left/>
      <top/>
      <bottom/>
    </border>
    <border>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right/>
    </border>
    <border>
      <top/>
      <bottom/>
    </border>
    <border>
      <left style="thick">
        <color rgb="FFFFFF00"/>
      </left>
      <right style="thick">
        <color rgb="FFFFFF00"/>
      </right>
      <top style="thick">
        <color rgb="FFFFFF00"/>
      </top>
      <bottom style="thick">
        <color rgb="FFFFFF00"/>
      </bottom>
    </border>
    <border>
      <right/>
      <bottom/>
    </border>
    <border>
      <left/>
      <top/>
    </border>
    <border>
      <top/>
    </border>
    <border>
      <lef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0">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center" vertical="center"/>
    </xf>
    <xf borderId="1" fillId="3" fontId="1" numFmtId="0" xfId="0" applyAlignment="1" applyBorder="1" applyFill="1" applyFont="1">
      <alignment vertical="center"/>
    </xf>
    <xf borderId="1" fillId="3" fontId="2" numFmtId="0" xfId="0" applyAlignment="1" applyBorder="1" applyFont="1">
      <alignment horizontal="center" vertical="center"/>
    </xf>
    <xf borderId="1" fillId="2" fontId="1" numFmtId="0" xfId="0" applyAlignment="1" applyBorder="1" applyFont="1">
      <alignment vertical="center"/>
    </xf>
    <xf borderId="1" fillId="2" fontId="3" numFmtId="0" xfId="0" applyBorder="1" applyFont="1"/>
    <xf borderId="1" fillId="3" fontId="3" numFmtId="0" xfId="0" applyBorder="1" applyFont="1"/>
    <xf borderId="1" fillId="3" fontId="1" numFmtId="0" xfId="0" applyBorder="1" applyFont="1"/>
    <xf borderId="1" fillId="3" fontId="1" numFmtId="0" xfId="0" applyAlignment="1" applyBorder="1" applyFont="1">
      <alignment horizontal="left"/>
    </xf>
    <xf borderId="1" fillId="3" fontId="4" numFmtId="0" xfId="0" applyAlignment="1" applyBorder="1" applyFont="1">
      <alignment horizontal="left"/>
    </xf>
    <xf borderId="1" fillId="3" fontId="5" numFmtId="0" xfId="0" applyAlignment="1" applyBorder="1" applyFont="1">
      <alignment horizontal="left" vertical="center"/>
    </xf>
    <xf borderId="1" fillId="3" fontId="1" numFmtId="164" xfId="0" applyAlignment="1" applyBorder="1" applyFont="1" applyNumberFormat="1">
      <alignment horizontal="center" vertical="center"/>
    </xf>
    <xf borderId="1" fillId="3" fontId="1" numFmtId="0" xfId="0" applyAlignment="1" applyBorder="1" applyFont="1">
      <alignment horizontal="left" vertical="center"/>
    </xf>
    <xf borderId="1" fillId="2" fontId="1" numFmtId="164" xfId="0" applyAlignment="1" applyBorder="1" applyFont="1" applyNumberFormat="1">
      <alignment horizontal="center" vertical="center"/>
    </xf>
    <xf borderId="2" fillId="3" fontId="3" numFmtId="0" xfId="0" applyBorder="1" applyFont="1"/>
    <xf borderId="1" fillId="3" fontId="1" numFmtId="0" xfId="0" applyAlignment="1" applyBorder="1" applyFont="1">
      <alignment horizontal="center" vertical="center"/>
    </xf>
    <xf borderId="3" fillId="3" fontId="1" numFmtId="0" xfId="0" applyAlignment="1" applyBorder="1" applyFont="1">
      <alignment horizontal="left" vertical="center"/>
    </xf>
    <xf borderId="4" fillId="2" fontId="1" numFmtId="0" xfId="0" applyAlignment="1" applyBorder="1" applyFont="1">
      <alignment horizontal="center" vertical="center"/>
    </xf>
    <xf borderId="1" fillId="2" fontId="1" numFmtId="0" xfId="0" applyAlignment="1" applyBorder="1" applyFont="1">
      <alignment horizontal="center" vertical="center"/>
    </xf>
    <xf borderId="1" fillId="2" fontId="6" numFmtId="0" xfId="0" applyBorder="1" applyFont="1"/>
    <xf borderId="0" fillId="0" fontId="7" numFmtId="0" xfId="0" applyAlignment="1" applyFont="1">
      <alignment readingOrder="0"/>
    </xf>
    <xf borderId="0" fillId="0" fontId="7" numFmtId="0" xfId="0" applyFont="1"/>
    <xf borderId="2" fillId="2" fontId="1" numFmtId="0" xfId="0" applyBorder="1" applyFont="1"/>
    <xf borderId="3" fillId="2" fontId="2" numFmtId="0" xfId="0" applyAlignment="1" applyBorder="1" applyFont="1">
      <alignment horizontal="center" vertical="center"/>
    </xf>
    <xf borderId="5" fillId="3" fontId="1" numFmtId="0" xfId="0" applyAlignment="1" applyBorder="1" applyFont="1">
      <alignment vertical="center"/>
    </xf>
    <xf borderId="6" fillId="3" fontId="2" numFmtId="0" xfId="0" applyAlignment="1" applyBorder="1" applyFont="1">
      <alignment horizontal="center" vertical="center"/>
    </xf>
    <xf borderId="7" fillId="3" fontId="2" numFmtId="0" xfId="0" applyAlignment="1" applyBorder="1" applyFont="1">
      <alignment horizontal="center" vertical="center"/>
    </xf>
    <xf borderId="8" fillId="0" fontId="8" numFmtId="0" xfId="0" applyBorder="1" applyFont="1"/>
    <xf borderId="9" fillId="0" fontId="8" numFmtId="0" xfId="0" applyBorder="1" applyFont="1"/>
    <xf borderId="4" fillId="2" fontId="1" numFmtId="0" xfId="0" applyBorder="1" applyFont="1"/>
    <xf borderId="10" fillId="2" fontId="1" numFmtId="0" xfId="0" applyBorder="1" applyFont="1"/>
    <xf borderId="3" fillId="2" fontId="1" numFmtId="0" xfId="0" applyBorder="1" applyFont="1"/>
    <xf borderId="11" fillId="4" fontId="9" numFmtId="0" xfId="0" applyBorder="1" applyFill="1" applyFont="1"/>
    <xf borderId="12" fillId="4" fontId="9" numFmtId="0" xfId="0" applyAlignment="1" applyBorder="1" applyFont="1">
      <alignment horizontal="left"/>
    </xf>
    <xf borderId="12" fillId="4" fontId="9" numFmtId="0" xfId="0" applyAlignment="1" applyBorder="1" applyFont="1">
      <alignment horizontal="center"/>
    </xf>
    <xf borderId="13" fillId="4" fontId="9" numFmtId="0" xfId="0" applyAlignment="1" applyBorder="1" applyFont="1">
      <alignment horizontal="center"/>
    </xf>
    <xf borderId="3" fillId="2" fontId="1" numFmtId="0" xfId="0" applyAlignment="1" applyBorder="1" applyFont="1">
      <alignment vertical="center"/>
    </xf>
    <xf borderId="14" fillId="3" fontId="1" numFmtId="0" xfId="0" applyAlignment="1" applyBorder="1" applyFont="1">
      <alignment vertical="center"/>
    </xf>
    <xf borderId="1" fillId="3" fontId="1" numFmtId="164" xfId="0" applyAlignment="1" applyBorder="1" applyFont="1" applyNumberFormat="1">
      <alignment horizontal="left"/>
    </xf>
    <xf borderId="15" fillId="3" fontId="1" numFmtId="164" xfId="0" applyAlignment="1" applyBorder="1" applyFont="1" applyNumberFormat="1">
      <alignment horizontal="left"/>
    </xf>
    <xf borderId="15" fillId="3" fontId="1" numFmtId="0" xfId="0" applyAlignment="1" applyBorder="1" applyFont="1">
      <alignment horizontal="left"/>
    </xf>
    <xf borderId="1" fillId="3" fontId="1" numFmtId="164" xfId="0" applyAlignment="1" applyBorder="1" applyFont="1" applyNumberFormat="1">
      <alignment horizontal="left" vertical="center"/>
    </xf>
    <xf borderId="15" fillId="3" fontId="1" numFmtId="164" xfId="0" applyAlignment="1" applyBorder="1" applyFont="1" applyNumberFormat="1">
      <alignment horizontal="left" vertical="center"/>
    </xf>
    <xf borderId="16" fillId="3" fontId="1" numFmtId="0" xfId="0" applyAlignment="1" applyBorder="1" applyFont="1">
      <alignment vertical="center"/>
    </xf>
    <xf borderId="17" fillId="3" fontId="1" numFmtId="164" xfId="0" applyAlignment="1" applyBorder="1" applyFont="1" applyNumberFormat="1">
      <alignment horizontal="left" vertical="center"/>
    </xf>
    <xf borderId="18" fillId="3" fontId="1" numFmtId="164" xfId="0" applyAlignment="1" applyBorder="1" applyFont="1" applyNumberFormat="1">
      <alignment horizontal="left" vertical="center"/>
    </xf>
    <xf borderId="19" fillId="2" fontId="1" numFmtId="0" xfId="0" applyBorder="1" applyFont="1"/>
    <xf borderId="3" fillId="2" fontId="3" numFmtId="0" xfId="0" applyBorder="1" applyFont="1"/>
    <xf borderId="1" fillId="3" fontId="10" numFmtId="165" xfId="0" applyAlignment="1" applyBorder="1" applyFont="1" applyNumberFormat="1">
      <alignment horizontal="center"/>
    </xf>
    <xf borderId="15" fillId="3" fontId="11" numFmtId="0" xfId="0" applyAlignment="1" applyBorder="1" applyFont="1">
      <alignment horizontal="left"/>
    </xf>
    <xf borderId="1" fillId="3" fontId="10" numFmtId="9" xfId="0" applyAlignment="1" applyBorder="1" applyFont="1" applyNumberFormat="1">
      <alignment horizontal="center"/>
    </xf>
    <xf borderId="1" fillId="3" fontId="1" numFmtId="165" xfId="0" applyAlignment="1" applyBorder="1" applyFont="1" applyNumberFormat="1">
      <alignment horizontal="center"/>
    </xf>
    <xf borderId="15" fillId="3" fontId="12" numFmtId="0" xfId="0" applyBorder="1" applyFont="1"/>
    <xf borderId="14" fillId="4" fontId="1" numFmtId="0" xfId="0" applyBorder="1" applyFont="1"/>
    <xf borderId="1" fillId="4" fontId="1" numFmtId="0" xfId="0" applyBorder="1" applyFont="1"/>
    <xf borderId="15" fillId="4" fontId="1" numFmtId="0" xfId="0" applyBorder="1" applyFont="1"/>
    <xf borderId="17" fillId="3" fontId="1" numFmtId="0" xfId="0" applyAlignment="1" applyBorder="1" applyFont="1">
      <alignment horizontal="left" vertical="center"/>
    </xf>
    <xf borderId="17" fillId="3" fontId="10" numFmtId="3" xfId="0" applyAlignment="1" applyBorder="1" applyFont="1" applyNumberFormat="1">
      <alignment horizontal="center"/>
    </xf>
    <xf borderId="18" fillId="3" fontId="11" numFmtId="0" xfId="0" applyAlignment="1" applyBorder="1" applyFont="1">
      <alignment horizontal="left"/>
    </xf>
    <xf borderId="1" fillId="3" fontId="1" numFmtId="164" xfId="0" applyAlignment="1" applyBorder="1" applyFont="1" applyNumberFormat="1">
      <alignment horizontal="center"/>
    </xf>
    <xf borderId="17" fillId="3" fontId="1" numFmtId="164" xfId="0" applyAlignment="1" applyBorder="1" applyFont="1" applyNumberFormat="1">
      <alignment horizontal="center"/>
    </xf>
    <xf borderId="18" fillId="3" fontId="1" numFmtId="164" xfId="0" applyAlignment="1" applyBorder="1" applyFont="1" applyNumberFormat="1">
      <alignment horizontal="left"/>
    </xf>
    <xf borderId="11" fillId="5" fontId="13" numFmtId="0" xfId="0" applyBorder="1" applyFill="1" applyFont="1"/>
    <xf borderId="12" fillId="5" fontId="14" numFmtId="0" xfId="0" applyBorder="1" applyFont="1"/>
    <xf borderId="13" fillId="5" fontId="13" numFmtId="0" xfId="0" applyAlignment="1" applyBorder="1" applyFont="1">
      <alignment horizontal="left"/>
    </xf>
    <xf borderId="16" fillId="6" fontId="3" numFmtId="0" xfId="0" applyAlignment="1" applyBorder="1" applyFill="1" applyFont="1">
      <alignment horizontal="right"/>
    </xf>
    <xf borderId="17" fillId="6" fontId="1" numFmtId="0" xfId="0" applyBorder="1" applyFont="1"/>
    <xf borderId="18" fillId="6" fontId="3" numFmtId="165" xfId="0" applyAlignment="1" applyBorder="1" applyFont="1" applyNumberFormat="1">
      <alignment horizontal="left"/>
    </xf>
    <xf borderId="1" fillId="5" fontId="13" numFmtId="0" xfId="0" applyBorder="1" applyFont="1"/>
    <xf borderId="1" fillId="5" fontId="13" numFmtId="0" xfId="0" applyAlignment="1" applyBorder="1" applyFont="1">
      <alignment horizontal="center"/>
    </xf>
    <xf borderId="1" fillId="6" fontId="3" numFmtId="0" xfId="0" applyBorder="1" applyFont="1"/>
    <xf borderId="1" fillId="6" fontId="3" numFmtId="0" xfId="0" applyAlignment="1" applyBorder="1" applyFont="1">
      <alignment horizontal="center"/>
    </xf>
    <xf borderId="1" fillId="6" fontId="3" numFmtId="165" xfId="0" applyAlignment="1" applyBorder="1" applyFont="1" applyNumberFormat="1">
      <alignment horizontal="center"/>
    </xf>
    <xf borderId="1" fillId="2" fontId="15" numFmtId="0" xfId="0" applyAlignment="1" applyBorder="1" applyFont="1">
      <alignment vertical="center"/>
    </xf>
    <xf borderId="1" fillId="3" fontId="16" numFmtId="0" xfId="0" applyAlignment="1" applyBorder="1" applyFont="1">
      <alignment horizontal="right" vertical="center"/>
    </xf>
    <xf borderId="1" fillId="7" fontId="1" numFmtId="0" xfId="0" applyAlignment="1" applyBorder="1" applyFill="1" applyFont="1">
      <alignment horizontal="center"/>
    </xf>
    <xf borderId="1" fillId="3" fontId="17" numFmtId="0" xfId="0" applyAlignment="1" applyBorder="1" applyFont="1">
      <alignment horizontal="right" vertical="center"/>
    </xf>
    <xf borderId="1" fillId="3" fontId="11" numFmtId="165" xfId="0" applyAlignment="1" applyBorder="1" applyFont="1" applyNumberFormat="1">
      <alignment horizontal="center"/>
    </xf>
    <xf borderId="1" fillId="2" fontId="16" numFmtId="0" xfId="0" applyAlignment="1" applyBorder="1" applyFont="1">
      <alignment vertical="center"/>
    </xf>
    <xf borderId="1" fillId="7" fontId="1" numFmtId="165" xfId="0" applyAlignment="1" applyBorder="1" applyFont="1" applyNumberFormat="1">
      <alignment horizontal="center"/>
    </xf>
    <xf borderId="1" fillId="3" fontId="1" numFmtId="0" xfId="0" applyAlignment="1" applyBorder="1" applyFont="1">
      <alignment horizontal="right"/>
    </xf>
    <xf borderId="1" fillId="3" fontId="1" numFmtId="0" xfId="0" applyAlignment="1" applyBorder="1" applyFont="1">
      <alignment vertical="bottom"/>
    </xf>
    <xf borderId="10" fillId="3" fontId="1" numFmtId="0" xfId="0" applyAlignment="1" applyBorder="1" applyFont="1">
      <alignment vertical="bottom"/>
    </xf>
    <xf borderId="1" fillId="3" fontId="18" numFmtId="0" xfId="0" applyAlignment="1" applyBorder="1" applyFont="1">
      <alignment vertical="center"/>
    </xf>
    <xf borderId="3" fillId="3" fontId="1" numFmtId="0" xfId="0" applyAlignment="1" applyBorder="1" applyFont="1">
      <alignment horizontal="left" shrinkToFit="0" vertical="center" wrapText="1"/>
    </xf>
    <xf borderId="20" fillId="0" fontId="8" numFmtId="0" xfId="0" applyBorder="1" applyFont="1"/>
    <xf borderId="21" fillId="8" fontId="19" numFmtId="0" xfId="0" applyAlignment="1" applyBorder="1" applyFill="1" applyFont="1">
      <alignment horizontal="center" shrinkToFit="0" vertical="center" wrapText="1"/>
    </xf>
    <xf borderId="1" fillId="9" fontId="2" numFmtId="0" xfId="0" applyAlignment="1" applyBorder="1" applyFill="1" applyFont="1">
      <alignment horizontal="center"/>
    </xf>
    <xf borderId="1" fillId="3" fontId="1" numFmtId="0" xfId="0" applyAlignment="1" applyBorder="1" applyFont="1">
      <alignment horizontal="right" vertical="center"/>
    </xf>
    <xf borderId="1" fillId="4" fontId="1" numFmtId="0" xfId="0" applyAlignment="1" applyBorder="1" applyFont="1">
      <alignment horizontal="center" vertical="center"/>
    </xf>
    <xf borderId="1" fillId="3" fontId="1" numFmtId="0" xfId="0" applyAlignment="1" applyBorder="1" applyFont="1">
      <alignment horizontal="center" shrinkToFit="0" vertical="center" wrapText="1"/>
    </xf>
    <xf borderId="2" fillId="3" fontId="1" numFmtId="0" xfId="0" applyAlignment="1" applyBorder="1" applyFont="1">
      <alignment horizontal="center" vertical="center"/>
    </xf>
    <xf borderId="19" fillId="0" fontId="8" numFmtId="0" xfId="0" applyBorder="1" applyFont="1"/>
    <xf borderId="1" fillId="4" fontId="1" numFmtId="0" xfId="0" applyAlignment="1" applyBorder="1" applyFont="1">
      <alignment vertical="center"/>
    </xf>
    <xf borderId="1" fillId="3" fontId="3" numFmtId="0" xfId="0" applyAlignment="1" applyBorder="1" applyFont="1">
      <alignment horizontal="center" vertical="center"/>
    </xf>
    <xf borderId="1" fillId="4" fontId="1" numFmtId="164" xfId="0" applyAlignment="1" applyBorder="1" applyFont="1" applyNumberFormat="1">
      <alignment horizontal="center" vertical="center"/>
    </xf>
    <xf borderId="1" fillId="3" fontId="3" numFmtId="164" xfId="0" applyAlignment="1" applyBorder="1" applyFont="1" applyNumberFormat="1">
      <alignment horizontal="center" vertical="center"/>
    </xf>
    <xf borderId="0" fillId="3" fontId="1" numFmtId="0" xfId="0" applyAlignment="1" applyFont="1">
      <alignment horizontal="center" shrinkToFit="0" wrapText="1"/>
    </xf>
    <xf borderId="1" fillId="3" fontId="1" numFmtId="0" xfId="0" applyAlignment="1" applyBorder="1" applyFont="1">
      <alignment horizontal="center"/>
    </xf>
    <xf borderId="1" fillId="8" fontId="6" numFmtId="0" xfId="0" applyBorder="1" applyFont="1"/>
    <xf borderId="1" fillId="10" fontId="3" numFmtId="0" xfId="0" applyBorder="1" applyFill="1" applyFont="1"/>
    <xf borderId="1" fillId="10" fontId="3" numFmtId="0" xfId="0" applyAlignment="1" applyBorder="1" applyFont="1">
      <alignment horizontal="center"/>
    </xf>
    <xf borderId="0" fillId="3" fontId="1" numFmtId="0" xfId="0" applyAlignment="1" applyFont="1">
      <alignment horizontal="left" shrinkToFit="0" wrapText="1"/>
    </xf>
    <xf borderId="1" fillId="3" fontId="1" numFmtId="0" xfId="0" applyAlignment="1" applyBorder="1" applyFont="1">
      <alignment horizontal="left" shrinkToFit="0" vertical="center" wrapText="1"/>
    </xf>
    <xf borderId="1" fillId="3" fontId="20" numFmtId="0" xfId="0" applyAlignment="1" applyBorder="1" applyFont="1">
      <alignment horizontal="left" shrinkToFit="0" vertical="center" wrapText="1"/>
    </xf>
    <xf borderId="1" fillId="3" fontId="21" numFmtId="0" xfId="0" applyAlignment="1" applyBorder="1" applyFont="1">
      <alignment vertical="center"/>
    </xf>
    <xf borderId="1" fillId="3" fontId="22" numFmtId="0" xfId="0" applyAlignment="1" applyBorder="1" applyFont="1">
      <alignment horizontal="center" shrinkToFit="0" vertical="center" wrapText="1"/>
    </xf>
    <xf borderId="1" fillId="2" fontId="23" numFmtId="0" xfId="0" applyBorder="1" applyFont="1"/>
    <xf borderId="1" fillId="3" fontId="3"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2" fontId="1" numFmtId="0" xfId="0" applyAlignment="1" applyBorder="1" applyFont="1">
      <alignment readingOrder="0"/>
    </xf>
    <xf borderId="0" fillId="4" fontId="1" numFmtId="0" xfId="0" applyFont="1"/>
    <xf borderId="3" fillId="3" fontId="1" numFmtId="0" xfId="0" applyAlignment="1" applyBorder="1" applyFont="1">
      <alignment horizontal="center" vertical="center"/>
    </xf>
    <xf borderId="4" fillId="3" fontId="1" numFmtId="0" xfId="0" applyAlignment="1" applyBorder="1" applyFont="1">
      <alignment horizontal="center" vertical="center"/>
    </xf>
    <xf borderId="3" fillId="3" fontId="1" numFmtId="0" xfId="0" applyAlignment="1" applyBorder="1" applyFont="1">
      <alignment vertical="center"/>
    </xf>
    <xf borderId="4" fillId="3" fontId="1" numFmtId="0" xfId="0" applyAlignment="1" applyBorder="1" applyFont="1">
      <alignment vertical="center"/>
    </xf>
    <xf borderId="3" fillId="3" fontId="3"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10" fillId="2" fontId="1" numFmtId="0" xfId="0" applyAlignment="1" applyBorder="1" applyFont="1">
      <alignment vertical="center"/>
    </xf>
    <xf borderId="0" fillId="4" fontId="1" numFmtId="0" xfId="0" applyAlignment="1" applyFont="1">
      <alignment horizontal="center" shrinkToFit="0" wrapText="1"/>
    </xf>
    <xf borderId="1" fillId="4" fontId="3" numFmtId="164" xfId="0" applyAlignment="1" applyBorder="1" applyFont="1" applyNumberFormat="1">
      <alignment horizontal="center" vertical="center"/>
    </xf>
    <xf borderId="3" fillId="8" fontId="13" numFmtId="0" xfId="0" applyAlignment="1" applyBorder="1" applyFont="1">
      <alignment horizontal="center"/>
    </xf>
    <xf borderId="1" fillId="3" fontId="1" numFmtId="0" xfId="0" applyAlignment="1" applyBorder="1" applyFont="1">
      <alignment horizontal="left" shrinkToFit="0" vertical="top" wrapText="1"/>
    </xf>
    <xf borderId="1" fillId="3" fontId="23" numFmtId="0" xfId="0" applyAlignment="1" applyBorder="1" applyFont="1">
      <alignment shrinkToFit="0" vertical="center" wrapText="1"/>
    </xf>
    <xf borderId="1" fillId="3" fontId="3" numFmtId="164" xfId="0" applyAlignment="1" applyBorder="1" applyFont="1" applyNumberFormat="1">
      <alignment horizontal="center" shrinkToFit="0" vertical="center" wrapText="1"/>
    </xf>
    <xf borderId="1" fillId="3" fontId="1" numFmtId="0" xfId="0" applyAlignment="1" applyBorder="1" applyFont="1">
      <alignment horizontal="left" readingOrder="0" shrinkToFit="0" vertical="center" wrapText="1"/>
    </xf>
    <xf borderId="1" fillId="3" fontId="1" numFmtId="0" xfId="0" applyAlignment="1" applyBorder="1" applyFont="1">
      <alignment shrinkToFit="0" vertical="center" wrapText="1"/>
    </xf>
    <xf borderId="1" fillId="3" fontId="24" numFmtId="0" xfId="0" applyAlignment="1" applyBorder="1" applyFont="1">
      <alignment shrinkToFit="0" vertical="center" wrapText="1"/>
    </xf>
    <xf borderId="1" fillId="3" fontId="1" numFmtId="0" xfId="0" applyAlignment="1" applyBorder="1" applyFont="1">
      <alignment horizontal="left" readingOrder="0" shrinkToFit="0" vertical="top" wrapText="1"/>
    </xf>
    <xf borderId="1" fillId="3" fontId="25" numFmtId="0" xfId="0" applyAlignment="1" applyBorder="1" applyFont="1">
      <alignment shrinkToFit="0" vertical="center" wrapText="1"/>
    </xf>
    <xf borderId="1" fillId="4" fontId="1" numFmtId="0" xfId="0" applyAlignment="1" applyBorder="1" applyFont="1">
      <alignment horizontal="center" shrinkToFit="0" vertical="center" wrapText="1"/>
    </xf>
    <xf borderId="1" fillId="3" fontId="23" numFmtId="0" xfId="0" applyAlignment="1" applyBorder="1" applyFont="1">
      <alignment vertical="center"/>
    </xf>
    <xf borderId="1" fillId="2" fontId="1" numFmtId="0" xfId="0" applyAlignment="1" applyBorder="1" applyFont="1">
      <alignment shrinkToFit="0" wrapText="1"/>
    </xf>
    <xf borderId="1" fillId="2" fontId="26" numFmtId="0" xfId="0" applyAlignment="1" applyBorder="1" applyFont="1">
      <alignment readingOrder="0"/>
    </xf>
    <xf borderId="1" fillId="3" fontId="3" numFmtId="164" xfId="0" applyAlignment="1" applyBorder="1" applyFont="1" applyNumberFormat="1">
      <alignment horizontal="center" readingOrder="0" vertical="center"/>
    </xf>
    <xf borderId="1" fillId="3" fontId="23" numFmtId="0" xfId="0" applyAlignment="1" applyBorder="1" applyFont="1">
      <alignment horizontal="left" readingOrder="0" vertical="center"/>
    </xf>
    <xf borderId="1" fillId="3" fontId="23" numFmtId="164" xfId="0" applyAlignment="1" applyBorder="1" applyFont="1" applyNumberFormat="1">
      <alignment horizontal="center" readingOrder="0" vertical="center"/>
    </xf>
    <xf borderId="1" fillId="3" fontId="23" numFmtId="164" xfId="0" applyAlignment="1" applyBorder="1" applyFont="1" applyNumberFormat="1">
      <alignment horizontal="center" vertical="center"/>
    </xf>
    <xf borderId="1" fillId="4" fontId="27" numFmtId="0" xfId="0" applyAlignment="1" applyBorder="1" applyFont="1">
      <alignment shrinkToFit="0" vertical="center" wrapText="1"/>
    </xf>
    <xf borderId="1" fillId="3" fontId="1" numFmtId="0" xfId="0" applyAlignment="1" applyBorder="1" applyFont="1">
      <alignment horizontal="left" vertical="top"/>
    </xf>
    <xf borderId="1" fillId="2" fontId="28" numFmtId="0" xfId="0" applyAlignment="1" applyBorder="1" applyFont="1">
      <alignment readingOrder="0" vertical="top"/>
    </xf>
    <xf borderId="1" fillId="3" fontId="2" numFmtId="0" xfId="0" applyAlignment="1" applyBorder="1" applyFont="1">
      <alignment horizontal="left" vertical="center"/>
    </xf>
    <xf borderId="1" fillId="3" fontId="1" numFmtId="0" xfId="0" applyAlignment="1" applyBorder="1" applyFont="1">
      <alignment horizontal="left" readingOrder="0" shrinkToFit="0" vertical="center" wrapText="0"/>
    </xf>
    <xf borderId="1" fillId="2" fontId="1" numFmtId="0" xfId="0" applyAlignment="1" applyBorder="1" applyFont="1">
      <alignment horizontal="center"/>
    </xf>
    <xf borderId="1" fillId="4" fontId="29" numFmtId="0" xfId="0" applyAlignment="1" applyBorder="1" applyFont="1">
      <alignment horizontal="center" shrinkToFit="0" vertical="center" wrapText="1"/>
    </xf>
    <xf borderId="1" fillId="3" fontId="1" numFmtId="165" xfId="0" applyAlignment="1" applyBorder="1" applyFont="1" applyNumberFormat="1">
      <alignment horizontal="left" readingOrder="0" shrinkToFit="0" vertical="top" wrapText="0"/>
    </xf>
    <xf borderId="1" fillId="3" fontId="1" numFmtId="0" xfId="0" applyAlignment="1" applyBorder="1" applyFont="1">
      <alignment horizontal="left" readingOrder="0" shrinkToFit="0" vertical="top" wrapText="0"/>
    </xf>
    <xf borderId="1" fillId="3" fontId="3" numFmtId="0" xfId="0" applyAlignment="1" applyBorder="1" applyFont="1">
      <alignment horizontal="left" vertical="center"/>
    </xf>
    <xf borderId="1" fillId="3" fontId="30" numFmtId="0" xfId="0" applyAlignment="1" applyBorder="1" applyFont="1">
      <alignment horizontal="left" vertical="center"/>
    </xf>
    <xf borderId="1" fillId="4" fontId="30" numFmtId="0" xfId="0" applyAlignment="1" applyBorder="1" applyFont="1">
      <alignment horizontal="center" vertical="center"/>
    </xf>
    <xf borderId="1" fillId="3" fontId="30" numFmtId="0" xfId="0" applyAlignment="1" applyBorder="1" applyFont="1">
      <alignment horizontal="left" shrinkToFit="0" vertical="top" wrapText="1"/>
    </xf>
    <xf borderId="1" fillId="3" fontId="30" numFmtId="0" xfId="0" applyAlignment="1" applyBorder="1" applyFont="1">
      <alignment horizontal="left" readingOrder="0" shrinkToFit="0" vertical="top" wrapText="1"/>
    </xf>
    <xf borderId="1" fillId="4" fontId="31" numFmtId="0" xfId="0" applyAlignment="1" applyBorder="1" applyFont="1">
      <alignment horizontal="center" shrinkToFit="0" vertical="center" wrapText="1"/>
    </xf>
    <xf borderId="1" fillId="3" fontId="32" numFmtId="164" xfId="0" applyAlignment="1" applyBorder="1" applyFont="1" applyNumberFormat="1">
      <alignment horizontal="center" vertical="center"/>
    </xf>
    <xf borderId="1" fillId="4" fontId="33" numFmtId="164" xfId="0" applyAlignment="1" applyBorder="1" applyFont="1" applyNumberFormat="1">
      <alignment horizontal="center" vertical="center"/>
    </xf>
    <xf borderId="1" fillId="3" fontId="3" numFmtId="166" xfId="0" applyAlignment="1" applyBorder="1" applyFont="1" applyNumberFormat="1">
      <alignment horizontal="center" vertical="center"/>
    </xf>
    <xf borderId="1" fillId="3" fontId="1" numFmtId="0" xfId="0" applyAlignment="1" applyBorder="1" applyFont="1">
      <alignment shrinkToFit="0" vertical="top" wrapText="1"/>
    </xf>
    <xf borderId="1" fillId="3" fontId="23" numFmtId="0" xfId="0" applyAlignment="1" applyBorder="1" applyFont="1">
      <alignment horizontal="left" vertical="center"/>
    </xf>
    <xf borderId="1" fillId="3" fontId="1" numFmtId="0" xfId="0" applyAlignment="1" applyBorder="1" applyFont="1">
      <alignment horizontal="left" readingOrder="0" vertical="center"/>
    </xf>
    <xf borderId="0" fillId="0" fontId="1" numFmtId="0" xfId="0" applyAlignment="1" applyFont="1">
      <alignment readingOrder="0" shrinkToFit="0" wrapText="1"/>
    </xf>
    <xf borderId="1" fillId="0" fontId="1" numFmtId="0" xfId="0" applyBorder="1" applyFont="1"/>
    <xf borderId="0" fillId="0" fontId="34" numFmtId="164" xfId="0" applyAlignment="1" applyFont="1" applyNumberFormat="1">
      <alignment horizontal="center" readingOrder="0"/>
    </xf>
    <xf borderId="0" fillId="2" fontId="35" numFmtId="0" xfId="0" applyAlignment="1" applyFont="1">
      <alignment readingOrder="0"/>
    </xf>
    <xf borderId="0" fillId="2" fontId="35" numFmtId="0" xfId="0" applyFont="1"/>
    <xf borderId="0" fillId="2" fontId="1" numFmtId="0" xfId="0" applyAlignment="1" applyFont="1">
      <alignment readingOrder="0"/>
    </xf>
    <xf borderId="0" fillId="2" fontId="1" numFmtId="0" xfId="0" applyFont="1"/>
    <xf borderId="4" fillId="4" fontId="1" numFmtId="0" xfId="0" applyAlignment="1" applyBorder="1" applyFont="1">
      <alignment horizontal="center"/>
    </xf>
    <xf borderId="4" fillId="3" fontId="1" numFmtId="0" xfId="0" applyAlignment="1" applyBorder="1" applyFont="1">
      <alignment horizontal="center" shrinkToFit="0" vertical="bottom" wrapText="1"/>
    </xf>
    <xf borderId="4" fillId="4" fontId="36" numFmtId="0" xfId="0" applyBorder="1" applyFont="1"/>
    <xf borderId="4" fillId="2" fontId="36" numFmtId="0" xfId="0" applyAlignment="1" applyBorder="1" applyFont="1">
      <alignment vertical="bottom"/>
    </xf>
    <xf borderId="10" fillId="3" fontId="23" numFmtId="0" xfId="0" applyBorder="1" applyFont="1"/>
    <xf borderId="22" fillId="4" fontId="1" numFmtId="0" xfId="0" applyAlignment="1" applyBorder="1" applyFont="1">
      <alignment horizontal="center"/>
    </xf>
    <xf borderId="22" fillId="3" fontId="3" numFmtId="0" xfId="0" applyAlignment="1" applyBorder="1" applyFont="1">
      <alignment horizontal="center"/>
    </xf>
    <xf borderId="22" fillId="4" fontId="36" numFmtId="0" xfId="0" applyBorder="1" applyFont="1"/>
    <xf borderId="22" fillId="2" fontId="36" numFmtId="0" xfId="0" applyAlignment="1" applyBorder="1" applyFont="1">
      <alignment vertical="bottom"/>
    </xf>
    <xf borderId="10" fillId="2" fontId="36" numFmtId="0" xfId="0" applyAlignment="1" applyBorder="1" applyFont="1">
      <alignment vertical="bottom"/>
    </xf>
    <xf borderId="1" fillId="4" fontId="37" numFmtId="0" xfId="0" applyAlignment="1" applyBorder="1" applyFont="1">
      <alignment horizontal="center" readingOrder="0" shrinkToFit="0" vertical="center" wrapText="1"/>
    </xf>
    <xf borderId="23" fillId="3" fontId="11" numFmtId="164" xfId="0" applyAlignment="1" applyBorder="1" applyFont="1" applyNumberFormat="1">
      <alignment horizontal="center" shrinkToFit="0" vertical="center" wrapText="1"/>
    </xf>
    <xf borderId="24" fillId="0" fontId="8" numFmtId="0" xfId="0" applyBorder="1" applyFont="1"/>
    <xf borderId="25" fillId="0" fontId="8" numFmtId="0" xfId="0" applyBorder="1" applyFont="1"/>
    <xf borderId="3" fillId="3" fontId="11" numFmtId="164" xfId="0" applyAlignment="1" applyBorder="1" applyFont="1" applyNumberFormat="1">
      <alignment horizontal="center" shrinkToFit="0" vertical="center" wrapText="1"/>
    </xf>
    <xf borderId="1" fillId="3" fontId="1" numFmtId="164" xfId="0" applyAlignment="1" applyBorder="1" applyFont="1" applyNumberFormat="1">
      <alignment horizontal="center" shrinkToFit="0" vertical="center" wrapText="1"/>
    </xf>
    <xf borderId="3" fillId="3" fontId="1" numFmtId="164" xfId="0" applyAlignment="1" applyBorder="1" applyFont="1" applyNumberFormat="1">
      <alignment horizontal="center" vertical="center"/>
    </xf>
    <xf borderId="0" fillId="0" fontId="38" numFmtId="0" xfId="0" applyAlignment="1" applyFont="1">
      <alignment shrinkToFit="0" wrapText="1"/>
    </xf>
    <xf borderId="0" fillId="0" fontId="39" numFmtId="0" xfId="0" applyAlignment="1" applyFont="1">
      <alignment shrinkToFit="0" wrapText="1"/>
    </xf>
    <xf borderId="0" fillId="0" fontId="39" numFmtId="165" xfId="0" applyAlignment="1" applyFont="1" applyNumberFormat="1">
      <alignment shrinkToFit="0" wrapText="1"/>
    </xf>
    <xf borderId="0" fillId="0" fontId="40" numFmtId="165" xfId="0" applyAlignment="1" applyFont="1" applyNumberFormat="1">
      <alignment shrinkToFit="0" wrapText="1"/>
    </xf>
    <xf borderId="0" fillId="0" fontId="39" numFmtId="165" xfId="0" applyAlignment="1" applyFont="1" applyNumberFormat="1">
      <alignment shrinkToFit="0" wrapText="0"/>
    </xf>
    <xf borderId="0" fillId="0" fontId="39" numFmtId="165" xfId="0" applyAlignment="1" applyFont="1" applyNumberFormat="1">
      <alignment readingOrder="0" shrinkToFit="0" vertical="bottom" wrapText="1"/>
    </xf>
    <xf borderId="0" fillId="0" fontId="39" numFmtId="164" xfId="0" applyAlignment="1" applyFont="1" applyNumberFormat="1">
      <alignment horizontal="left" readingOrder="0" shrinkToFit="0" wrapText="1"/>
    </xf>
    <xf borderId="0" fillId="0" fontId="39" numFmtId="164" xfId="0" applyAlignment="1" applyFont="1" applyNumberFormat="1">
      <alignment horizontal="left" shrinkToFit="0" wrapText="1"/>
    </xf>
    <xf borderId="0" fillId="0" fontId="41" numFmtId="0" xfId="0" applyAlignment="1" applyFont="1">
      <alignment shrinkToFit="0" wrapText="1"/>
    </xf>
    <xf borderId="0" fillId="0" fontId="39" numFmtId="0" xfId="0" applyAlignment="1" applyFont="1">
      <alignment horizontal="center" shrinkToFit="0" wrapText="1"/>
    </xf>
    <xf borderId="0" fillId="11" fontId="39" numFmtId="0" xfId="0" applyAlignment="1" applyFill="1" applyFont="1">
      <alignment shrinkToFit="0" wrapText="1"/>
    </xf>
    <xf borderId="0" fillId="0" fontId="39" numFmtId="0" xfId="0" applyFont="1"/>
    <xf borderId="0" fillId="0" fontId="42" numFmtId="164" xfId="0" applyAlignment="1" applyFont="1" applyNumberFormat="1">
      <alignment horizontal="left" shrinkToFit="0" wrapText="1"/>
    </xf>
    <xf borderId="0" fillId="0" fontId="42" numFmtId="164" xfId="0" applyAlignment="1" applyFont="1" applyNumberFormat="1">
      <alignment horizontal="left" shrinkToFit="0" vertical="top" wrapText="1"/>
    </xf>
    <xf borderId="0" fillId="0" fontId="39" numFmtId="164" xfId="0" applyAlignment="1" applyFont="1" applyNumberFormat="1">
      <alignment horizontal="left"/>
    </xf>
    <xf borderId="0" fillId="12" fontId="39" numFmtId="164" xfId="0" applyAlignment="1" applyFill="1" applyFont="1" applyNumberFormat="1">
      <alignment horizontal="left"/>
    </xf>
    <xf borderId="0" fillId="0" fontId="43" numFmtId="0" xfId="0" applyAlignment="1" applyFont="1">
      <alignment shrinkToFit="0" wrapText="1"/>
    </xf>
    <xf borderId="0" fillId="11" fontId="39" numFmtId="0" xfId="0" applyFont="1"/>
    <xf borderId="0" fillId="0" fontId="39" numFmtId="9" xfId="0" applyFont="1" applyNumberFormat="1"/>
    <xf borderId="0" fillId="0" fontId="43" numFmtId="0" xfId="0" applyFont="1"/>
    <xf borderId="0" fillId="0" fontId="39" numFmtId="0" xfId="0" applyAlignment="1" applyFont="1">
      <alignment horizontal="center"/>
    </xf>
    <xf borderId="0" fillId="0" fontId="39" numFmtId="164" xfId="0" applyAlignment="1" applyFont="1" applyNumberFormat="1">
      <alignment horizontal="center"/>
    </xf>
    <xf borderId="0" fillId="0" fontId="39" numFmtId="164" xfId="0" applyFont="1" applyNumberFormat="1"/>
    <xf borderId="0" fillId="11" fontId="43" numFmtId="0" xfId="0" applyFont="1"/>
    <xf borderId="0" fillId="0" fontId="44" numFmtId="0" xfId="0" applyAlignment="1" applyFont="1">
      <alignment shrinkToFit="0" vertical="bottom" wrapText="1"/>
    </xf>
    <xf borderId="0" fillId="0" fontId="43" numFmtId="0" xfId="0" applyAlignment="1" applyFont="1">
      <alignment horizontal="center"/>
    </xf>
    <xf borderId="0" fillId="0" fontId="42" numFmtId="164" xfId="0" applyAlignment="1" applyFont="1" applyNumberFormat="1">
      <alignment horizontal="left" readingOrder="0" shrinkToFit="0" vertical="top" wrapText="1"/>
    </xf>
    <xf borderId="0" fillId="13" fontId="39" numFmtId="164" xfId="0" applyAlignment="1" applyFill="1" applyFont="1" applyNumberFormat="1">
      <alignment horizontal="left"/>
    </xf>
    <xf borderId="0" fillId="0" fontId="45" numFmtId="0" xfId="0" applyAlignment="1" applyFont="1">
      <alignment vertical="center"/>
    </xf>
    <xf borderId="0" fillId="0" fontId="39" numFmtId="165" xfId="0" applyFont="1" applyNumberFormat="1"/>
    <xf borderId="0" fillId="0" fontId="39" numFmtId="164" xfId="0" applyAlignment="1" applyFont="1" applyNumberFormat="1">
      <alignment horizontal="center" shrinkToFit="0" wrapText="1"/>
    </xf>
    <xf borderId="0" fillId="14" fontId="39" numFmtId="164" xfId="0" applyAlignment="1" applyFill="1" applyFont="1" applyNumberFormat="1">
      <alignment horizontal="left"/>
    </xf>
    <xf borderId="0" fillId="15" fontId="46" numFmtId="0" xfId="0" applyFill="1" applyFont="1"/>
    <xf borderId="0" fillId="16" fontId="39" numFmtId="0" xfId="0" applyAlignment="1" applyFill="1" applyFont="1">
      <alignment horizontal="center"/>
    </xf>
    <xf borderId="0" fillId="15" fontId="42" numFmtId="164" xfId="0" applyAlignment="1" applyFont="1" applyNumberFormat="1">
      <alignment horizontal="left" shrinkToFit="0" vertical="top" wrapText="1"/>
    </xf>
    <xf borderId="0" fillId="0" fontId="47" numFmtId="164" xfId="0" applyAlignment="1" applyFont="1" applyNumberFormat="1">
      <alignment horizontal="left" shrinkToFit="0" wrapText="1"/>
    </xf>
    <xf borderId="0" fillId="0" fontId="48" numFmtId="164" xfId="0" applyFont="1" applyNumberFormat="1"/>
    <xf borderId="0" fillId="15" fontId="42" numFmtId="164" xfId="0" applyAlignment="1" applyFont="1" applyNumberFormat="1">
      <alignment horizontal="left" readingOrder="0" shrinkToFit="0" vertical="top" wrapText="1"/>
    </xf>
    <xf borderId="0" fillId="0" fontId="42" numFmtId="164" xfId="0" applyAlignment="1" applyFont="1" applyNumberFormat="1">
      <alignment horizontal="left" readingOrder="0" shrinkToFit="0" wrapText="1"/>
    </xf>
    <xf borderId="0" fillId="0" fontId="42" numFmtId="164" xfId="0" applyAlignment="1" applyFont="1" applyNumberFormat="1">
      <alignment horizontal="left" shrinkToFit="0" wrapText="0"/>
    </xf>
    <xf borderId="0" fillId="0" fontId="39" numFmtId="0" xfId="0" applyAlignment="1" applyFont="1">
      <alignment readingOrder="0"/>
    </xf>
    <xf borderId="0" fillId="0" fontId="42" numFmtId="164" xfId="0" applyAlignment="1" applyFont="1" applyNumberFormat="1">
      <alignment horizontal="left" readingOrder="0" shrinkToFit="0" wrapText="0"/>
    </xf>
    <xf borderId="0" fillId="0" fontId="49" numFmtId="0" xfId="0" applyAlignment="1" applyFont="1">
      <alignment shrinkToFit="0" wrapText="1"/>
    </xf>
    <xf borderId="0" fillId="0" fontId="49" numFmtId="0" xfId="0" applyFont="1"/>
    <xf borderId="0" fillId="0" fontId="50" numFmtId="164" xfId="0" applyAlignment="1" applyFont="1" applyNumberFormat="1">
      <alignment horizontal="left" shrinkToFit="0" wrapText="1"/>
    </xf>
    <xf borderId="0" fillId="0" fontId="50" numFmtId="164" xfId="0" applyAlignment="1" applyFont="1" applyNumberFormat="1">
      <alignment horizontal="left" shrinkToFit="0" vertical="top" wrapText="1"/>
    </xf>
    <xf borderId="0" fillId="17" fontId="39" numFmtId="164" xfId="0" applyAlignment="1" applyFill="1" applyFont="1" applyNumberFormat="1">
      <alignment horizontal="left"/>
    </xf>
    <xf borderId="0" fillId="15" fontId="39" numFmtId="164" xfId="0" applyAlignment="1" applyFont="1" applyNumberFormat="1">
      <alignment horizontal="left"/>
    </xf>
    <xf borderId="0" fillId="0" fontId="51" numFmtId="0" xfId="0" applyFont="1"/>
    <xf borderId="0" fillId="0" fontId="39" numFmtId="0" xfId="0" applyAlignment="1" applyFont="1">
      <alignment shrinkToFit="0" vertical="bottom" wrapText="1"/>
    </xf>
    <xf borderId="0" fillId="0" fontId="42" numFmtId="164" xfId="0" applyAlignment="1" applyFont="1" applyNumberFormat="1">
      <alignment horizontal="center" shrinkToFit="0" wrapText="1"/>
    </xf>
    <xf borderId="0" fillId="0" fontId="42" numFmtId="164" xfId="0" applyAlignment="1" applyFont="1" applyNumberFormat="1">
      <alignment horizontal="center" shrinkToFit="0" vertical="top" wrapText="1"/>
    </xf>
    <xf borderId="0" fillId="0" fontId="52" numFmtId="0" xfId="0" applyAlignment="1" applyFont="1">
      <alignment shrinkToFit="0" wrapText="1"/>
    </xf>
    <xf borderId="0" fillId="0" fontId="52" numFmtId="0" xfId="0" applyAlignment="1" applyFont="1">
      <alignment shrinkToFit="0" vertical="top" wrapText="1"/>
    </xf>
    <xf borderId="0" fillId="0" fontId="36" numFmtId="164" xfId="0" applyAlignment="1" applyFont="1" applyNumberFormat="1">
      <alignment shrinkToFit="0" wrapText="1"/>
    </xf>
    <xf borderId="0" fillId="0" fontId="36" numFmtId="0" xfId="0" applyFont="1"/>
    <xf borderId="0" fillId="0" fontId="36" numFmtId="164" xfId="0" applyFont="1" applyNumberFormat="1"/>
    <xf borderId="0" fillId="3" fontId="42" numFmtId="164" xfId="0" applyAlignment="1" applyFont="1" applyNumberFormat="1">
      <alignment horizontal="left" shrinkToFit="0" wrapText="1"/>
    </xf>
    <xf borderId="0" fillId="3" fontId="42" numFmtId="164" xfId="0" applyAlignment="1" applyFont="1" applyNumberFormat="1">
      <alignment horizontal="left" shrinkToFit="0" vertical="top" wrapText="1"/>
    </xf>
    <xf borderId="0" fillId="0" fontId="53" numFmtId="164" xfId="0" applyAlignment="1" applyFont="1" applyNumberFormat="1">
      <alignment horizontal="center" shrinkToFit="0" vertical="top" wrapText="1"/>
    </xf>
    <xf borderId="1" fillId="3" fontId="54" numFmtId="0" xfId="0" applyAlignment="1" applyBorder="1" applyFont="1">
      <alignment horizontal="center" readingOrder="0" shrinkToFit="0" vertical="center" wrapText="1"/>
    </xf>
    <xf borderId="1" fillId="3" fontId="1" numFmtId="0" xfId="0" applyAlignment="1" applyBorder="1" applyFont="1">
      <alignment horizontal="center" shrinkToFit="0" vertical="top" wrapText="1"/>
    </xf>
    <xf borderId="1" fillId="3" fontId="11" numFmtId="0" xfId="0" applyAlignment="1" applyBorder="1" applyFont="1">
      <alignment horizontal="center" shrinkToFit="0" vertical="center" wrapText="1"/>
    </xf>
    <xf borderId="1" fillId="3" fontId="55" numFmtId="0" xfId="0" applyAlignment="1" applyBorder="1" applyFont="1">
      <alignment horizontal="left" vertical="center"/>
    </xf>
    <xf borderId="1" fillId="3" fontId="23" numFmtId="0" xfId="0" applyAlignment="1" applyBorder="1" applyFont="1">
      <alignment horizontal="left" shrinkToFit="0" vertical="center" wrapText="1"/>
    </xf>
    <xf borderId="0" fillId="16" fontId="38" numFmtId="0" xfId="0" applyFont="1"/>
    <xf borderId="0" fillId="16" fontId="39" numFmtId="0" xfId="0" applyFont="1"/>
    <xf borderId="26" fillId="0" fontId="56" numFmtId="0" xfId="0" applyBorder="1" applyFont="1"/>
    <xf borderId="26" fillId="0" fontId="56" numFmtId="0" xfId="0" applyAlignment="1" applyBorder="1" applyFont="1">
      <alignment horizontal="center"/>
    </xf>
    <xf borderId="26" fillId="0" fontId="43" numFmtId="0" xfId="0" applyBorder="1" applyFont="1"/>
    <xf borderId="26" fillId="0" fontId="43" numFmtId="0" xfId="0" applyAlignment="1" applyBorder="1" applyFont="1">
      <alignment horizontal="center"/>
    </xf>
    <xf borderId="0" fillId="16" fontId="39" numFmtId="164" xfId="0" applyFont="1" applyNumberFormat="1"/>
    <xf borderId="0" fillId="16" fontId="43" numFmtId="0" xfId="0" applyFont="1"/>
    <xf borderId="0" fillId="0" fontId="39" numFmtId="167" xfId="0" applyAlignment="1" applyFont="1" applyNumberFormat="1">
      <alignment horizontal="center"/>
    </xf>
    <xf borderId="0" fillId="0" fontId="43" numFmtId="164" xfId="0" applyAlignment="1" applyFont="1" applyNumberFormat="1">
      <alignment horizontal="center"/>
    </xf>
    <xf borderId="0" fillId="0" fontId="39" numFmtId="0" xfId="0" applyAlignment="1" applyFont="1">
      <alignment shrinkToFit="0" vertical="top" wrapText="1"/>
    </xf>
  </cellXfs>
  <cellStyles count="1">
    <cellStyle xfId="0" name="Normal" builtinId="0"/>
  </cellStyles>
  <dxfs count="4">
    <dxf>
      <font/>
      <fill>
        <patternFill patternType="solid">
          <fgColor rgb="FFEA9999"/>
          <bgColor rgb="FFEA9999"/>
        </patternFill>
      </fill>
      <border/>
    </dxf>
    <dxf>
      <font/>
      <fill>
        <patternFill patternType="solid">
          <fgColor rgb="FFF3F3F3"/>
          <bgColor rgb="FFF3F3F3"/>
        </patternFill>
      </fill>
      <border/>
    </dxf>
    <dxf>
      <font>
        <color rgb="FFFF0000"/>
      </font>
      <fill>
        <patternFill patternType="solid">
          <fgColor rgb="FFFFFFFF"/>
          <bgColor rgb="FFFFFFFF"/>
        </patternFill>
      </fill>
      <border/>
    </dxf>
    <dxf>
      <font/>
      <fill>
        <patternFill patternType="solid">
          <fgColor rgb="FFD9D9D9"/>
          <bgColor rgb="FFD9D9D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2552700" cy="400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2981325" cy="4667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1781175</xdr:colOff>
      <xdr:row>13</xdr:row>
      <xdr:rowOff>190500</xdr:rowOff>
    </xdr:from>
    <xdr:ext cx="11039475" cy="4933950"/>
    <xdr:sp>
      <xdr:nvSpPr>
        <xdr:cNvPr id="3" name="Shape 3"/>
        <xdr:cNvSpPr txBox="1"/>
      </xdr:nvSpPr>
      <xdr:spPr>
        <a:xfrm>
          <a:off x="1091650" y="363875"/>
          <a:ext cx="2852100" cy="1477500"/>
        </a:xfrm>
        <a:prstGeom prst="rect">
          <a:avLst/>
        </a:prstGeom>
        <a:solidFill>
          <a:srgbClr val="FF0000"/>
        </a:solid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OUTDATED - PLEASE FOLLOW THIS LINK TO BX CATALOG https://docs.google.com/spreadsheets/d/1q2D3lpca0GhcGeBdlIW0LiBGEstmwsVhZI8Tup59ArY/edit#gid=449445990</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qualtrics.highspot.com/items/5ed6dce1628ba20d1f49d21b?lfrm=rhp.5"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qualtrics.highspot.com/items/5ed6dce234d6be3cbcff4d0d?lfrm=rhp.6"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No5T24ngLuoDU0RrR4gfQ4bJEtmDscQ6/view?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qualtrics.highspot.com/items/5ed6dce46a3b11409a01ea8a?lfrm=rhp.6"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qualtrics.highspot.com/items/5ed6dce5628ba20d1f49d270?lfrm=rhp.5"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qualtrics.com/marketplace/max-diff-software-tool/"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Ns_LANXv6cJ2RuzASg2gGtgRVFMZQVKTkmRHrRis4UY/edit?ts=5eb2dca1"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qualtrics.com/support/survey-platform/survey-module/survey-module-overview/"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qualtrics.com/support/survey-platform/data-and-analysis-module/response-weighting/" TargetMode="External"/><Relationship Id="rId2" Type="http://schemas.openxmlformats.org/officeDocument/2006/relationships/hyperlink" Target="https://www.qualtrics.com/support/survey-platform/data-and-analysis-module/cross-tabulation/cross-tabulation-overview/" TargetMode="External"/><Relationship Id="rId3" Type="http://schemas.openxmlformats.org/officeDocument/2006/relationships/hyperlink" Target="https://www.qualtrics.com/support/survey-platform/reports-module/results-section/reports-overview/" TargetMode="External"/><Relationship Id="rId4" Type="http://schemas.openxmlformats.org/officeDocument/2006/relationships/hyperlink" Target="https://www.qualtrics.com/support/survey-platform/reports-module/results-section/reports-overview/" TargetMode="External"/><Relationship Id="rId5" Type="http://schemas.openxmlformats.org/officeDocument/2006/relationships/hyperlink" Target="https://www.qualtrics.com/research-core/survey-reporting-dashboards/" TargetMode="External"/><Relationship Id="rId6" Type="http://schemas.openxmlformats.org/officeDocument/2006/relationships/hyperlink" Target="https://www.qualtrics.com/iq/text-iq/" TargetMode="External"/><Relationship Id="rId7"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qualtrics.com/marketplace/rybbon-integration/"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drive.google.com/file/d/1AQ52JQqdmZKITlY2KY1zVAotRrBWKV5L/view?usp=sharing" TargetMode="External"/><Relationship Id="rId10" Type="http://schemas.openxmlformats.org/officeDocument/2006/relationships/hyperlink" Target="https://drive.google.com/file/d/1AQ52JQqdmZKITlY2KY1zVAotRrBWKV5L/view?usp=sharing" TargetMode="External"/><Relationship Id="rId13" Type="http://schemas.openxmlformats.org/officeDocument/2006/relationships/hyperlink" Target="https://drive.google.com/file/d/1AQ52JQqdmZKITlY2KY1zVAotRrBWKV5L/view?usp=sharing" TargetMode="External"/><Relationship Id="rId12" Type="http://schemas.openxmlformats.org/officeDocument/2006/relationships/hyperlink" Target="https://drive.google.com/file/d/1AQ52JQqdmZKITlY2KY1zVAotRrBWKV5L/view?usp=sharing" TargetMode="External"/><Relationship Id="rId1" Type="http://schemas.openxmlformats.org/officeDocument/2006/relationships/comments" Target="../comments1.xml"/><Relationship Id="rId2" Type="http://schemas.openxmlformats.org/officeDocument/2006/relationships/hyperlink" Target="https://docs.google.com/spreadsheets/d/1-qowZkxcOJCe2cCoDamFZhbWuE1aYEcCpuwd8snoi4Y/edit?ts=5ef10891" TargetMode="External"/><Relationship Id="rId3" Type="http://schemas.openxmlformats.org/officeDocument/2006/relationships/hyperlink" Target="https://docs.google.com/spreadsheets/d/1-qowZkxcOJCe2cCoDamFZhbWuE1aYEcCpuwd8snoi4Y/edit?ts=5ef10891" TargetMode="External"/><Relationship Id="rId4" Type="http://schemas.openxmlformats.org/officeDocument/2006/relationships/hyperlink" Target="https://docs.google.com/spreadsheets/d/1OWoJ8YGQhRaz_1PBL8DC7IcMv4cexIAYqElXhizKp7A/edit" TargetMode="External"/><Relationship Id="rId9" Type="http://schemas.openxmlformats.org/officeDocument/2006/relationships/hyperlink" Target="https://drive.google.com/file/d/1AQ52JQqdmZKITlY2KY1zVAotRrBWKV5L/view?usp=sharing" TargetMode="External"/><Relationship Id="rId15" Type="http://schemas.openxmlformats.org/officeDocument/2006/relationships/drawing" Target="../drawings/drawing18.xml"/><Relationship Id="rId14" Type="http://schemas.openxmlformats.org/officeDocument/2006/relationships/hyperlink" Target="https://drive.google.com/file/d/1AQ52JQqdmZKITlY2KY1zVAotRrBWKV5L/view?usp=sharing" TargetMode="External"/><Relationship Id="rId16" Type="http://schemas.openxmlformats.org/officeDocument/2006/relationships/vmlDrawing" Target="../drawings/vmlDrawing1.vml"/><Relationship Id="rId5" Type="http://schemas.openxmlformats.org/officeDocument/2006/relationships/hyperlink" Target="https://docs.google.com/spreadsheets/d/11XHfpEjBjcKhh0szorwtTe1zeGMktfWbxca5s74X8Jw/edit" TargetMode="External"/><Relationship Id="rId6" Type="http://schemas.openxmlformats.org/officeDocument/2006/relationships/hyperlink" Target="http://translations.com" TargetMode="External"/><Relationship Id="rId7" Type="http://schemas.openxmlformats.org/officeDocument/2006/relationships/hyperlink" Target="http://translations.com" TargetMode="External"/><Relationship Id="rId8" Type="http://schemas.openxmlformats.org/officeDocument/2006/relationships/hyperlink" Target="https://drive.google.com/file/d/1AQ52JQqdmZKITlY2KY1zVAotRrBWKV5L/view?usp=sharing"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qualtrics.com/marketplace/vox-pop-me-integration/" TargetMode="External"/><Relationship Id="rId2" Type="http://schemas.openxmlformats.org/officeDocument/2006/relationships/hyperlink" Target="https://drive.google.com/drive/folders/1_VgfzOq2to1ottuF2YQKzWzJq9AofCY1" TargetMode="External"/><Relationship Id="rId3" Type="http://schemas.openxmlformats.org/officeDocument/2006/relationships/hyperlink" Target="http://usertesting.co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11"/>
    <col customWidth="1" min="2" max="2" width="29.78"/>
    <col customWidth="1" min="3" max="3" width="3.44"/>
    <col customWidth="1" min="4" max="4" width="53.22"/>
    <col customWidth="1" min="5" max="7" width="31.0"/>
    <col customWidth="1" min="8" max="8" width="10.78"/>
    <col customWidth="1" min="9" max="24" width="10.56"/>
  </cols>
  <sheetData>
    <row r="1" ht="15.75" customHeight="1">
      <c r="A1" s="1"/>
      <c r="B1" s="1"/>
      <c r="C1" s="1"/>
      <c r="D1" s="1"/>
      <c r="E1" s="1"/>
      <c r="F1" s="1"/>
      <c r="G1" s="1"/>
      <c r="H1" s="1"/>
      <c r="I1" s="1"/>
      <c r="J1" s="1"/>
      <c r="K1" s="1"/>
      <c r="L1" s="1"/>
      <c r="M1" s="1"/>
      <c r="N1" s="1"/>
      <c r="O1" s="1"/>
      <c r="P1" s="1"/>
      <c r="Q1" s="1"/>
      <c r="R1" s="1"/>
      <c r="S1" s="1"/>
      <c r="T1" s="1"/>
      <c r="U1" s="1"/>
      <c r="V1" s="1"/>
      <c r="W1" s="1"/>
      <c r="X1" s="1"/>
    </row>
    <row r="2" ht="15.75" customHeight="1">
      <c r="A2" s="1"/>
      <c r="B2" s="1"/>
      <c r="C2" s="1"/>
      <c r="D2" s="1"/>
      <c r="E2" s="1"/>
      <c r="F2" s="1"/>
      <c r="G2" s="1"/>
      <c r="H2" s="1"/>
      <c r="I2" s="1"/>
      <c r="J2" s="1"/>
      <c r="K2" s="1"/>
      <c r="L2" s="1"/>
      <c r="M2" s="1"/>
      <c r="N2" s="1"/>
      <c r="O2" s="1"/>
      <c r="P2" s="1"/>
      <c r="Q2" s="1"/>
      <c r="R2" s="1"/>
      <c r="S2" s="1"/>
      <c r="T2" s="1"/>
      <c r="U2" s="1"/>
      <c r="V2" s="1"/>
      <c r="W2" s="1"/>
      <c r="X2" s="1"/>
    </row>
    <row r="3" ht="45.75" customHeight="1">
      <c r="A3" s="2"/>
      <c r="B3" s="3"/>
      <c r="C3" s="4"/>
      <c r="D3" s="4" t="s">
        <v>0</v>
      </c>
      <c r="E3" s="5"/>
      <c r="F3" s="5"/>
      <c r="G3" s="5"/>
      <c r="H3" s="1"/>
      <c r="I3" s="1"/>
      <c r="J3" s="1"/>
      <c r="K3" s="1"/>
      <c r="L3" s="1"/>
      <c r="M3" s="1"/>
      <c r="N3" s="1"/>
      <c r="O3" s="1"/>
      <c r="P3" s="1"/>
      <c r="Q3" s="1"/>
      <c r="R3" s="1"/>
      <c r="S3" s="1"/>
      <c r="T3" s="1"/>
      <c r="U3" s="1"/>
      <c r="V3" s="1"/>
      <c r="W3" s="1"/>
      <c r="X3" s="1"/>
    </row>
    <row r="4" ht="15.75" customHeight="1">
      <c r="A4" s="6"/>
      <c r="B4" s="7"/>
      <c r="C4" s="7"/>
      <c r="D4" s="7" t="s">
        <v>1</v>
      </c>
      <c r="E4" s="6"/>
      <c r="F4" s="6"/>
      <c r="G4" s="6"/>
      <c r="H4" s="6"/>
      <c r="I4" s="6"/>
      <c r="J4" s="6"/>
      <c r="K4" s="6"/>
      <c r="L4" s="6"/>
      <c r="M4" s="6"/>
      <c r="N4" s="6"/>
      <c r="O4" s="6"/>
      <c r="P4" s="6"/>
      <c r="Q4" s="6"/>
      <c r="R4" s="6"/>
      <c r="S4" s="6"/>
      <c r="T4" s="6"/>
      <c r="U4" s="6"/>
      <c r="V4" s="6"/>
      <c r="W4" s="6"/>
      <c r="X4" s="6"/>
    </row>
    <row r="5" ht="15.75" customHeight="1">
      <c r="A5" s="1"/>
      <c r="B5" s="8"/>
      <c r="C5" s="9"/>
      <c r="D5" s="10" t="s">
        <v>2</v>
      </c>
      <c r="E5" s="1"/>
      <c r="F5" s="1"/>
      <c r="G5" s="1"/>
      <c r="H5" s="1"/>
      <c r="I5" s="1"/>
      <c r="J5" s="1"/>
      <c r="K5" s="1"/>
      <c r="L5" s="1"/>
      <c r="M5" s="1"/>
      <c r="N5" s="1"/>
      <c r="O5" s="1"/>
      <c r="P5" s="1"/>
      <c r="Q5" s="1"/>
      <c r="R5" s="1"/>
      <c r="S5" s="1"/>
      <c r="T5" s="1"/>
      <c r="U5" s="1"/>
      <c r="V5" s="1"/>
      <c r="W5" s="1"/>
      <c r="X5" s="1"/>
    </row>
    <row r="6" ht="15.75" customHeight="1">
      <c r="A6" s="5"/>
      <c r="B6" s="3"/>
      <c r="C6" s="9"/>
      <c r="D6" s="10" t="s">
        <v>3</v>
      </c>
      <c r="E6" s="5"/>
      <c r="F6" s="5"/>
      <c r="G6" s="5"/>
      <c r="H6" s="1"/>
      <c r="I6" s="1"/>
      <c r="J6" s="1"/>
      <c r="K6" s="1"/>
      <c r="L6" s="1"/>
      <c r="M6" s="1"/>
      <c r="N6" s="1"/>
      <c r="O6" s="1"/>
      <c r="P6" s="1"/>
      <c r="Q6" s="1"/>
      <c r="R6" s="1"/>
      <c r="S6" s="1"/>
      <c r="T6" s="1"/>
      <c r="U6" s="1"/>
      <c r="V6" s="1"/>
      <c r="W6" s="1"/>
      <c r="X6" s="1"/>
    </row>
    <row r="7" ht="15.75" customHeight="1">
      <c r="A7" s="5"/>
      <c r="B7" s="3"/>
      <c r="C7" s="9"/>
      <c r="D7" s="10" t="s">
        <v>4</v>
      </c>
      <c r="E7" s="5"/>
      <c r="F7" s="5"/>
      <c r="G7" s="5"/>
      <c r="H7" s="1"/>
      <c r="I7" s="1"/>
      <c r="J7" s="1"/>
      <c r="K7" s="1"/>
      <c r="L7" s="1"/>
      <c r="M7" s="1"/>
      <c r="N7" s="1"/>
      <c r="O7" s="1"/>
      <c r="P7" s="1"/>
      <c r="Q7" s="1"/>
      <c r="R7" s="1"/>
      <c r="S7" s="1"/>
      <c r="T7" s="1"/>
      <c r="U7" s="1"/>
      <c r="V7" s="1"/>
      <c r="W7" s="1"/>
      <c r="X7" s="1"/>
    </row>
    <row r="8" ht="15.75" customHeight="1">
      <c r="A8" s="5"/>
      <c r="B8" s="3"/>
      <c r="C8" s="9"/>
      <c r="D8" s="10" t="s">
        <v>5</v>
      </c>
      <c r="E8" s="5"/>
      <c r="F8" s="5"/>
      <c r="G8" s="5"/>
      <c r="H8" s="1"/>
      <c r="I8" s="1"/>
      <c r="J8" s="1"/>
      <c r="K8" s="1"/>
      <c r="L8" s="1"/>
      <c r="M8" s="1"/>
      <c r="N8" s="1"/>
      <c r="O8" s="1"/>
      <c r="P8" s="1"/>
      <c r="Q8" s="1"/>
      <c r="R8" s="1"/>
      <c r="S8" s="1"/>
      <c r="T8" s="1"/>
      <c r="U8" s="1"/>
      <c r="V8" s="1"/>
      <c r="W8" s="1"/>
      <c r="X8" s="1"/>
    </row>
    <row r="9" ht="15.75" customHeight="1">
      <c r="A9" s="5"/>
      <c r="B9" s="3"/>
      <c r="C9" s="9"/>
      <c r="D9" s="11" t="s">
        <v>6</v>
      </c>
      <c r="E9" s="5"/>
      <c r="F9" s="5"/>
      <c r="G9" s="5"/>
      <c r="H9" s="1"/>
      <c r="I9" s="1"/>
      <c r="J9" s="1"/>
      <c r="K9" s="1"/>
      <c r="L9" s="1"/>
      <c r="M9" s="1"/>
      <c r="N9" s="1"/>
      <c r="O9" s="1"/>
      <c r="P9" s="1"/>
      <c r="Q9" s="1"/>
      <c r="R9" s="1"/>
      <c r="S9" s="1"/>
      <c r="T9" s="1"/>
      <c r="U9" s="1"/>
      <c r="V9" s="1"/>
      <c r="W9" s="1"/>
      <c r="X9" s="1"/>
    </row>
    <row r="10" ht="15.75" customHeight="1">
      <c r="A10" s="5"/>
      <c r="B10" s="3"/>
      <c r="C10" s="9"/>
      <c r="D10" s="10" t="s">
        <v>7</v>
      </c>
      <c r="E10" s="5"/>
      <c r="F10" s="5"/>
      <c r="G10" s="5"/>
      <c r="H10" s="1"/>
      <c r="I10" s="1"/>
      <c r="J10" s="1"/>
      <c r="K10" s="1"/>
      <c r="L10" s="1"/>
      <c r="M10" s="1"/>
      <c r="N10" s="1"/>
      <c r="O10" s="1"/>
      <c r="P10" s="1"/>
      <c r="Q10" s="1"/>
      <c r="R10" s="1"/>
      <c r="S10" s="1"/>
      <c r="T10" s="1"/>
      <c r="U10" s="1"/>
      <c r="V10" s="1"/>
      <c r="W10" s="1"/>
      <c r="X10" s="1"/>
    </row>
    <row r="11" ht="15.75" customHeight="1">
      <c r="A11" s="5"/>
      <c r="B11" s="3"/>
      <c r="C11" s="9"/>
      <c r="D11" s="10" t="s">
        <v>8</v>
      </c>
      <c r="E11" s="5"/>
      <c r="F11" s="5"/>
      <c r="G11" s="5"/>
      <c r="H11" s="1"/>
      <c r="I11" s="1"/>
      <c r="J11" s="1"/>
      <c r="K11" s="1"/>
      <c r="L11" s="1"/>
      <c r="M11" s="1"/>
      <c r="N11" s="1"/>
      <c r="O11" s="1"/>
      <c r="P11" s="1"/>
      <c r="Q11" s="1"/>
      <c r="R11" s="1"/>
      <c r="S11" s="1"/>
      <c r="T11" s="1"/>
      <c r="U11" s="1"/>
      <c r="V11" s="1"/>
      <c r="W11" s="1"/>
      <c r="X11" s="1"/>
    </row>
    <row r="12" ht="15.75" customHeight="1">
      <c r="A12" s="5"/>
      <c r="B12" s="12"/>
      <c r="C12" s="9"/>
      <c r="D12" s="10" t="s">
        <v>9</v>
      </c>
      <c r="E12" s="5"/>
      <c r="F12" s="5"/>
      <c r="G12" s="5"/>
      <c r="H12" s="1"/>
      <c r="I12" s="1"/>
      <c r="J12" s="1"/>
      <c r="K12" s="1"/>
      <c r="L12" s="1"/>
      <c r="M12" s="1"/>
      <c r="N12" s="1"/>
      <c r="O12" s="1"/>
      <c r="P12" s="1"/>
      <c r="Q12" s="1"/>
      <c r="R12" s="1"/>
      <c r="S12" s="1"/>
      <c r="T12" s="1"/>
      <c r="U12" s="1"/>
      <c r="V12" s="1"/>
      <c r="W12" s="1"/>
      <c r="X12" s="1"/>
    </row>
    <row r="13" ht="15.75" customHeight="1">
      <c r="A13" s="5"/>
      <c r="B13" s="3"/>
      <c r="C13" s="13"/>
      <c r="D13" s="11" t="s">
        <v>10</v>
      </c>
      <c r="E13" s="14"/>
      <c r="F13" s="5"/>
      <c r="G13" s="14"/>
      <c r="H13" s="1"/>
      <c r="I13" s="1"/>
      <c r="J13" s="1"/>
      <c r="K13" s="1"/>
      <c r="L13" s="1"/>
      <c r="M13" s="1"/>
      <c r="N13" s="1"/>
      <c r="O13" s="1"/>
      <c r="P13" s="1"/>
      <c r="Q13" s="1"/>
      <c r="R13" s="1"/>
      <c r="S13" s="1"/>
      <c r="T13" s="1"/>
      <c r="U13" s="1"/>
      <c r="V13" s="1"/>
      <c r="W13" s="1"/>
      <c r="X13" s="1"/>
    </row>
    <row r="14" ht="15.75" customHeight="1">
      <c r="A14" s="1"/>
      <c r="B14" s="3"/>
      <c r="C14" s="13"/>
      <c r="D14" s="13"/>
      <c r="E14" s="5"/>
      <c r="F14" s="5"/>
      <c r="G14" s="5"/>
      <c r="H14" s="1"/>
      <c r="I14" s="1"/>
      <c r="J14" s="1"/>
      <c r="K14" s="1"/>
      <c r="L14" s="1"/>
      <c r="M14" s="1"/>
      <c r="N14" s="1"/>
      <c r="O14" s="1"/>
      <c r="P14" s="1"/>
      <c r="Q14" s="1"/>
      <c r="R14" s="1"/>
      <c r="S14" s="1"/>
      <c r="T14" s="1"/>
      <c r="U14" s="1"/>
      <c r="V14" s="1"/>
      <c r="W14" s="1"/>
      <c r="X14" s="1"/>
    </row>
    <row r="15" ht="15.75" customHeight="1">
      <c r="A15" s="1"/>
      <c r="B15" s="7"/>
      <c r="C15" s="7"/>
      <c r="D15" s="15" t="s">
        <v>11</v>
      </c>
      <c r="E15" s="5"/>
      <c r="F15" s="5"/>
      <c r="G15" s="5"/>
      <c r="H15" s="1"/>
      <c r="I15" s="1"/>
      <c r="J15" s="1"/>
      <c r="K15" s="1"/>
      <c r="L15" s="1"/>
      <c r="M15" s="1"/>
      <c r="N15" s="1"/>
      <c r="O15" s="1"/>
      <c r="P15" s="1"/>
      <c r="Q15" s="1"/>
      <c r="R15" s="1"/>
      <c r="S15" s="1"/>
      <c r="T15" s="1"/>
      <c r="U15" s="1"/>
      <c r="V15" s="1"/>
      <c r="W15" s="1"/>
      <c r="X15" s="1"/>
    </row>
    <row r="16" ht="15.75" customHeight="1">
      <c r="A16" s="6"/>
      <c r="B16" s="16"/>
      <c r="C16" s="17"/>
      <c r="D16" s="10" t="s">
        <v>12</v>
      </c>
      <c r="E16" s="6"/>
      <c r="F16" s="5"/>
      <c r="G16" s="6"/>
      <c r="H16" s="6"/>
      <c r="I16" s="6"/>
      <c r="J16" s="6"/>
      <c r="K16" s="6"/>
      <c r="L16" s="6"/>
      <c r="M16" s="6"/>
      <c r="N16" s="6"/>
      <c r="O16" s="6"/>
      <c r="P16" s="6"/>
      <c r="Q16" s="6"/>
      <c r="R16" s="6"/>
      <c r="S16" s="6"/>
      <c r="T16" s="6"/>
      <c r="U16" s="6"/>
      <c r="V16" s="6"/>
      <c r="W16" s="6"/>
      <c r="X16" s="6"/>
    </row>
    <row r="17" ht="15.75" customHeight="1">
      <c r="A17" s="5"/>
      <c r="B17" s="3"/>
      <c r="C17" s="13"/>
      <c r="D17" s="10" t="s">
        <v>13</v>
      </c>
      <c r="E17" s="18"/>
      <c r="F17" s="5"/>
      <c r="G17" s="19"/>
      <c r="H17" s="1"/>
      <c r="I17" s="1"/>
      <c r="J17" s="1"/>
      <c r="K17" s="1"/>
      <c r="L17" s="1"/>
      <c r="M17" s="1"/>
      <c r="N17" s="1"/>
      <c r="O17" s="1"/>
      <c r="P17" s="1"/>
      <c r="Q17" s="1"/>
      <c r="R17" s="1"/>
      <c r="S17" s="1"/>
      <c r="T17" s="1"/>
      <c r="U17" s="1"/>
      <c r="V17" s="1"/>
      <c r="W17" s="1"/>
      <c r="X17" s="1"/>
    </row>
    <row r="18" ht="15.75" customHeight="1">
      <c r="A18" s="5"/>
      <c r="B18" s="3"/>
      <c r="C18" s="13"/>
      <c r="D18" s="10" t="s">
        <v>14</v>
      </c>
      <c r="E18" s="5"/>
      <c r="F18" s="5"/>
      <c r="G18" s="5"/>
      <c r="H18" s="1"/>
      <c r="I18" s="1"/>
      <c r="J18" s="1"/>
      <c r="K18" s="1"/>
      <c r="L18" s="1"/>
      <c r="M18" s="1"/>
      <c r="N18" s="1"/>
      <c r="O18" s="1"/>
      <c r="P18" s="1"/>
      <c r="Q18" s="1"/>
      <c r="R18" s="1"/>
      <c r="S18" s="1"/>
      <c r="T18" s="1"/>
      <c r="U18" s="1"/>
      <c r="V18" s="1"/>
      <c r="W18" s="1"/>
      <c r="X18" s="1"/>
    </row>
    <row r="19" ht="15.75" customHeight="1">
      <c r="A19" s="5"/>
      <c r="B19" s="3"/>
      <c r="C19" s="13"/>
      <c r="D19" s="10" t="s">
        <v>15</v>
      </c>
      <c r="E19" s="5"/>
      <c r="F19" s="5"/>
      <c r="G19" s="5"/>
      <c r="H19" s="1"/>
      <c r="I19" s="1"/>
      <c r="J19" s="1"/>
      <c r="K19" s="1"/>
      <c r="L19" s="1"/>
      <c r="M19" s="1"/>
      <c r="N19" s="1"/>
      <c r="O19" s="1"/>
      <c r="P19" s="1"/>
      <c r="Q19" s="1"/>
      <c r="R19" s="1"/>
      <c r="S19" s="1"/>
      <c r="T19" s="1"/>
      <c r="U19" s="1"/>
      <c r="V19" s="1"/>
      <c r="W19" s="1"/>
      <c r="X19" s="1"/>
    </row>
    <row r="20" ht="15.75" customHeight="1">
      <c r="A20" s="5"/>
      <c r="B20" s="3"/>
      <c r="C20" s="13"/>
      <c r="D20" s="10" t="s">
        <v>16</v>
      </c>
      <c r="E20" s="5"/>
      <c r="F20" s="5"/>
      <c r="G20" s="5"/>
      <c r="H20" s="1"/>
      <c r="I20" s="1"/>
      <c r="J20" s="1"/>
      <c r="K20" s="1"/>
      <c r="L20" s="1"/>
      <c r="M20" s="1"/>
      <c r="N20" s="1"/>
      <c r="O20" s="1"/>
      <c r="P20" s="1"/>
      <c r="Q20" s="1"/>
      <c r="R20" s="1"/>
      <c r="S20" s="1"/>
      <c r="T20" s="1"/>
      <c r="U20" s="1"/>
      <c r="V20" s="1"/>
      <c r="W20" s="1"/>
      <c r="X20" s="1"/>
    </row>
    <row r="21" ht="15.75" customHeight="1">
      <c r="A21" s="5"/>
      <c r="B21" s="3"/>
      <c r="C21" s="13"/>
      <c r="D21" s="10" t="s">
        <v>17</v>
      </c>
      <c r="E21" s="5"/>
      <c r="F21" s="5"/>
      <c r="G21" s="5"/>
      <c r="H21" s="1"/>
      <c r="I21" s="1"/>
      <c r="J21" s="1"/>
      <c r="K21" s="1"/>
      <c r="L21" s="1"/>
      <c r="M21" s="1"/>
      <c r="N21" s="1"/>
      <c r="O21" s="1"/>
      <c r="P21" s="1"/>
      <c r="Q21" s="1"/>
      <c r="R21" s="1"/>
      <c r="S21" s="1"/>
      <c r="T21" s="1"/>
      <c r="U21" s="1"/>
      <c r="V21" s="1"/>
      <c r="W21" s="1"/>
      <c r="X21" s="1"/>
    </row>
    <row r="22" ht="15.75" customHeight="1">
      <c r="A22" s="5"/>
      <c r="B22" s="3"/>
      <c r="C22" s="13"/>
      <c r="D22" s="10" t="s">
        <v>18</v>
      </c>
      <c r="E22" s="5"/>
      <c r="F22" s="5"/>
      <c r="G22" s="5"/>
      <c r="H22" s="1"/>
      <c r="I22" s="1"/>
      <c r="J22" s="1"/>
      <c r="K22" s="1"/>
      <c r="L22" s="1"/>
      <c r="M22" s="1"/>
      <c r="N22" s="1"/>
      <c r="O22" s="1"/>
      <c r="P22" s="1"/>
      <c r="Q22" s="1"/>
      <c r="R22" s="1"/>
      <c r="S22" s="1"/>
      <c r="T22" s="1"/>
      <c r="U22" s="1"/>
      <c r="V22" s="1"/>
      <c r="W22" s="1"/>
      <c r="X22" s="1"/>
    </row>
    <row r="23" ht="15.75" customHeight="1">
      <c r="A23" s="5"/>
      <c r="B23" s="3"/>
      <c r="C23" s="13"/>
      <c r="D23" s="13"/>
      <c r="E23" s="5"/>
      <c r="F23" s="5"/>
      <c r="G23" s="5"/>
      <c r="H23" s="1"/>
      <c r="I23" s="1"/>
      <c r="J23" s="1"/>
      <c r="K23" s="1"/>
      <c r="L23" s="1"/>
      <c r="M23" s="1"/>
      <c r="N23" s="1"/>
      <c r="O23" s="1"/>
      <c r="P23" s="1"/>
      <c r="Q23" s="1"/>
      <c r="R23" s="1"/>
      <c r="S23" s="1"/>
      <c r="T23" s="1"/>
      <c r="U23" s="1"/>
      <c r="V23" s="1"/>
      <c r="W23" s="1"/>
      <c r="X23" s="1"/>
    </row>
    <row r="24" ht="15.75" customHeight="1">
      <c r="A24" s="5"/>
      <c r="B24" s="3"/>
      <c r="C24" s="13"/>
      <c r="D24" s="10" t="s">
        <v>19</v>
      </c>
      <c r="E24" s="5"/>
      <c r="F24" s="5"/>
      <c r="G24" s="5"/>
      <c r="H24" s="1"/>
      <c r="I24" s="1"/>
      <c r="J24" s="1"/>
      <c r="K24" s="1"/>
      <c r="L24" s="1"/>
      <c r="M24" s="1"/>
      <c r="N24" s="1"/>
      <c r="O24" s="1"/>
      <c r="P24" s="1"/>
      <c r="Q24" s="1"/>
      <c r="R24" s="1"/>
      <c r="S24" s="1"/>
      <c r="T24" s="1"/>
      <c r="U24" s="1"/>
      <c r="V24" s="1"/>
      <c r="W24" s="1"/>
      <c r="X24" s="1"/>
    </row>
    <row r="25" ht="15.75" customHeight="1">
      <c r="A25" s="5"/>
      <c r="B25" s="5"/>
      <c r="C25" s="5"/>
      <c r="D25" s="5"/>
      <c r="E25" s="5"/>
      <c r="F25" s="5"/>
      <c r="G25" s="5"/>
      <c r="H25" s="1"/>
      <c r="I25" s="1"/>
      <c r="J25" s="1"/>
      <c r="K25" s="1"/>
      <c r="L25" s="1"/>
      <c r="M25" s="1"/>
      <c r="N25" s="1"/>
      <c r="O25" s="1"/>
      <c r="P25" s="1"/>
      <c r="Q25" s="1"/>
      <c r="R25" s="1"/>
      <c r="S25" s="1"/>
      <c r="T25" s="1"/>
      <c r="U25" s="1"/>
      <c r="V25" s="1"/>
      <c r="W25" s="1"/>
      <c r="X25" s="1"/>
    </row>
    <row r="26" ht="15.75" customHeight="1">
      <c r="A26" s="5"/>
      <c r="B26" s="14"/>
      <c r="C26" s="14"/>
      <c r="D26" s="14"/>
      <c r="E26" s="5"/>
      <c r="F26" s="5"/>
      <c r="G26" s="5"/>
      <c r="H26" s="1"/>
      <c r="I26" s="1"/>
      <c r="J26" s="1"/>
      <c r="K26" s="1"/>
      <c r="L26" s="1"/>
      <c r="M26" s="1"/>
      <c r="N26" s="1"/>
      <c r="O26" s="1"/>
      <c r="P26" s="1"/>
      <c r="Q26" s="1"/>
      <c r="R26" s="1"/>
      <c r="S26" s="1"/>
      <c r="T26" s="1"/>
      <c r="U26" s="1"/>
      <c r="V26" s="1"/>
      <c r="W26" s="1"/>
      <c r="X26" s="1"/>
    </row>
    <row r="27" ht="15.75" customHeight="1">
      <c r="A27" s="5"/>
      <c r="B27" s="1"/>
      <c r="C27" s="1"/>
      <c r="D27" s="1"/>
      <c r="E27" s="14"/>
      <c r="F27" s="14"/>
      <c r="G27" s="14"/>
      <c r="H27" s="1"/>
      <c r="I27" s="1"/>
      <c r="J27" s="1"/>
      <c r="K27" s="1"/>
      <c r="L27" s="1"/>
      <c r="M27" s="1"/>
      <c r="N27" s="1"/>
      <c r="O27" s="1"/>
      <c r="P27" s="1"/>
      <c r="Q27" s="1"/>
      <c r="R27" s="1"/>
      <c r="S27" s="1"/>
      <c r="T27" s="1"/>
      <c r="U27" s="1"/>
      <c r="V27" s="1"/>
      <c r="W27" s="1"/>
      <c r="X27" s="1"/>
    </row>
    <row r="28" ht="15.75" customHeight="1">
      <c r="A28" s="1"/>
      <c r="B28" s="20"/>
      <c r="C28" s="20"/>
      <c r="D28" s="20"/>
      <c r="E28" s="1"/>
      <c r="F28" s="1"/>
      <c r="G28" s="1"/>
      <c r="H28" s="1"/>
      <c r="I28" s="1"/>
      <c r="J28" s="1"/>
      <c r="K28" s="1"/>
      <c r="L28" s="1"/>
      <c r="M28" s="1"/>
      <c r="N28" s="1"/>
      <c r="O28" s="1"/>
      <c r="P28" s="1"/>
      <c r="Q28" s="1"/>
      <c r="R28" s="1"/>
      <c r="S28" s="1"/>
      <c r="T28" s="1"/>
      <c r="U28" s="1"/>
      <c r="V28" s="1"/>
      <c r="W28" s="1"/>
      <c r="X28" s="1"/>
    </row>
    <row r="29" ht="30.0" customHeight="1">
      <c r="A29" s="1"/>
      <c r="B29" s="6"/>
      <c r="C29" s="6"/>
      <c r="D29" s="6"/>
      <c r="E29" s="20"/>
      <c r="F29" s="20"/>
      <c r="G29" s="1"/>
      <c r="H29" s="1"/>
      <c r="I29" s="1"/>
      <c r="J29" s="1"/>
      <c r="K29" s="1"/>
      <c r="L29" s="1"/>
      <c r="M29" s="1"/>
      <c r="N29" s="1"/>
      <c r="O29" s="1"/>
      <c r="P29" s="1"/>
      <c r="Q29" s="1"/>
      <c r="R29" s="1"/>
      <c r="S29" s="1"/>
      <c r="T29" s="1"/>
      <c r="U29" s="1"/>
      <c r="V29" s="1"/>
      <c r="W29" s="1"/>
      <c r="X29" s="1"/>
    </row>
    <row r="30" ht="15.75" customHeight="1">
      <c r="A30" s="1"/>
      <c r="B30" s="1"/>
      <c r="C30" s="1"/>
      <c r="D30" s="1"/>
      <c r="E30" s="6"/>
      <c r="F30" s="6"/>
      <c r="G30" s="1"/>
      <c r="H30" s="1"/>
      <c r="I30" s="1"/>
      <c r="J30" s="1"/>
      <c r="K30" s="1"/>
      <c r="L30" s="1"/>
      <c r="M30" s="1"/>
      <c r="N30" s="1"/>
      <c r="O30" s="1"/>
      <c r="P30" s="1"/>
      <c r="Q30" s="1"/>
      <c r="R30" s="1"/>
      <c r="S30" s="1"/>
      <c r="T30" s="1"/>
      <c r="U30" s="1"/>
      <c r="V30" s="1"/>
      <c r="W30" s="1"/>
      <c r="X30" s="1"/>
    </row>
    <row r="31" ht="15.75" customHeight="1">
      <c r="A31" s="1"/>
      <c r="B31" s="1"/>
      <c r="C31" s="1"/>
      <c r="D31" s="1"/>
      <c r="E31" s="1"/>
      <c r="F31" s="1"/>
      <c r="G31" s="1"/>
      <c r="H31" s="1"/>
      <c r="I31" s="1"/>
      <c r="J31" s="1"/>
      <c r="K31" s="1"/>
      <c r="L31" s="1"/>
      <c r="M31" s="1"/>
      <c r="N31" s="1"/>
      <c r="O31" s="1"/>
      <c r="P31" s="1"/>
      <c r="Q31" s="1"/>
      <c r="R31" s="1"/>
      <c r="S31" s="1"/>
      <c r="T31" s="1"/>
      <c r="U31" s="1"/>
      <c r="V31" s="1"/>
      <c r="W31" s="1"/>
      <c r="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A&amp;U" location="'A&amp;U'!A1" ref="D5"/>
    <hyperlink display="Ad Testing" location="'Ad Testing'!A1" ref="D6"/>
    <hyperlink display="Concept Testing" location="'Concept Testing'!A1" ref="D7"/>
    <hyperlink display="Competitive Benchmarking" location="'Competitive Benchmarking'!A1" ref="D8"/>
    <hyperlink display="Competitive Landscape / Market Landscape" location="'Competitive Landscape  Market L'!A1" ref="D9"/>
    <hyperlink display="Message Testing w/ Max Diff" location="'Message Testing w MaxDiff'!A1" ref="D10"/>
    <hyperlink display="Product Development w/ Conjoint" location="'Product Development w Conjoint'!A1" ref="D11"/>
    <hyperlink display="Product Development w/ MaxDiff" location="'Product Development w MaxDiff'!A1" ref="D12"/>
    <hyperlink display="Segmentation" location="Segmentation!A1" ref="D13"/>
    <hyperlink display="BX Implementation &amp; Services" location="'BX | Implementation &amp; Services'!A1" ref="D16"/>
    <hyperlink display="Core XM Implementation &amp; Services" location="'Core XM | Implementation &amp; Serv'!A1" ref="D17"/>
    <hyperlink display="Design &amp; Build" location="'Ad-Hoc | Design and Build'!A1" ref="D18"/>
    <hyperlink display="Data Collection" location="'Ad-Hoc | Data Collection'!A1" ref="D19"/>
    <hyperlink display="Reporting &amp; Analytics" location="'Ad-Hoc | Reporting &amp; Analytics'!A1" ref="D20"/>
    <hyperlink display="Tech Add-Ons" location="'Ad-Hoc | Tech Add-Ons'!A1" ref="D21"/>
    <hyperlink display="Qualitative" location="'Ad-Hoc | Qualitative'!A1" ref="D22"/>
    <hyperlink display="Jump to List View" location="'List view'!A1" ref="D24"/>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4">
      <c r="D4" s="21" t="s">
        <v>20</v>
      </c>
      <c r="E4" s="21" t="s">
        <v>21</v>
      </c>
      <c r="F4" s="21" t="s">
        <v>22</v>
      </c>
    </row>
    <row r="5">
      <c r="D5" s="21">
        <v>3205.0</v>
      </c>
      <c r="E5" s="22">
        <f t="shared" ref="E5:E7" si="1">100*F5</f>
        <v>2926.666667</v>
      </c>
      <c r="F5" s="22">
        <f>878/30</f>
        <v>29.26666667</v>
      </c>
    </row>
    <row r="6">
      <c r="D6" s="21">
        <v>3205.0</v>
      </c>
      <c r="E6" s="22">
        <f t="shared" si="1"/>
        <v>2925</v>
      </c>
      <c r="F6" s="22">
        <f>585/20</f>
        <v>29.25</v>
      </c>
    </row>
    <row r="7">
      <c r="D7" s="21">
        <v>3205.0</v>
      </c>
      <c r="E7" s="21">
        <f t="shared" si="1"/>
        <v>2927.5</v>
      </c>
      <c r="F7" s="22">
        <f>1171/40</f>
        <v>29.275</v>
      </c>
    </row>
    <row r="8">
      <c r="E8" s="22">
        <f>sum(D5:E7)</f>
        <v>18394.16667</v>
      </c>
    </row>
    <row r="9">
      <c r="E9" s="21">
        <v>500.0</v>
      </c>
    </row>
    <row r="10">
      <c r="E10" s="22">
        <f>E8+E9</f>
        <v>18894.16667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outlineLevelRow="1"/>
  <cols>
    <col customWidth="1" min="1" max="1" width="41.0"/>
    <col customWidth="1" min="2" max="2" width="34.78"/>
    <col customWidth="1" min="3" max="3" width="3.44"/>
    <col customWidth="1" min="4" max="5" width="25.89"/>
    <col customWidth="1" min="6" max="6" width="28.33"/>
    <col customWidth="1" min="7" max="7" width="19.67"/>
    <col customWidth="1" min="8" max="8" width="21.33"/>
    <col customWidth="1" min="9" max="9" width="28.44"/>
    <col customWidth="1" min="10" max="29"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row>
    <row r="2" ht="15.75" customHeight="1">
      <c r="A2" s="1"/>
      <c r="B2" s="23"/>
      <c r="C2" s="23"/>
      <c r="D2" s="23"/>
      <c r="E2" s="23"/>
      <c r="F2" s="23"/>
      <c r="G2" s="23"/>
      <c r="H2" s="1"/>
      <c r="I2" s="1"/>
      <c r="J2" s="1"/>
      <c r="K2" s="1"/>
      <c r="L2" s="1"/>
      <c r="M2" s="1"/>
      <c r="N2" s="1"/>
      <c r="O2" s="1"/>
      <c r="P2" s="1"/>
      <c r="Q2" s="1"/>
      <c r="R2" s="1"/>
      <c r="S2" s="1"/>
      <c r="T2" s="1"/>
      <c r="U2" s="1"/>
      <c r="V2" s="1"/>
      <c r="W2" s="1"/>
      <c r="X2" s="1"/>
      <c r="Y2" s="1"/>
      <c r="Z2" s="1"/>
      <c r="AA2" s="1"/>
    </row>
    <row r="3" ht="45.75" customHeight="1">
      <c r="A3" s="24"/>
      <c r="B3" s="25"/>
      <c r="C3" s="26"/>
      <c r="D3" s="27" t="s">
        <v>23</v>
      </c>
      <c r="E3" s="28"/>
      <c r="F3" s="28"/>
      <c r="G3" s="29"/>
      <c r="H3" s="30"/>
      <c r="I3" s="1"/>
      <c r="J3" s="1"/>
      <c r="K3" s="1"/>
      <c r="L3" s="1"/>
      <c r="M3" s="1"/>
      <c r="N3" s="1"/>
      <c r="O3" s="1"/>
      <c r="P3" s="1"/>
      <c r="Q3" s="1"/>
      <c r="R3" s="1"/>
      <c r="S3" s="1"/>
      <c r="T3" s="1"/>
      <c r="U3" s="1"/>
      <c r="V3" s="1"/>
      <c r="W3" s="1"/>
      <c r="X3" s="1"/>
      <c r="Y3" s="1"/>
      <c r="Z3" s="1"/>
      <c r="AA3" s="1"/>
    </row>
    <row r="4" ht="15.75" customHeight="1">
      <c r="A4" s="6"/>
      <c r="B4" s="31"/>
      <c r="C4" s="31"/>
      <c r="D4" s="31"/>
      <c r="E4" s="31"/>
      <c r="F4" s="31"/>
      <c r="G4" s="31"/>
      <c r="H4" s="6"/>
      <c r="I4" s="6"/>
      <c r="J4" s="6"/>
      <c r="K4" s="6"/>
      <c r="L4" s="6"/>
      <c r="M4" s="6"/>
      <c r="N4" s="6"/>
      <c r="O4" s="6"/>
      <c r="P4" s="6"/>
      <c r="Q4" s="6"/>
      <c r="R4" s="6"/>
      <c r="S4" s="6"/>
      <c r="T4" s="6"/>
      <c r="U4" s="6"/>
      <c r="V4" s="6"/>
      <c r="W4" s="6"/>
      <c r="X4" s="6"/>
      <c r="Y4" s="6"/>
      <c r="Z4" s="6"/>
      <c r="AA4" s="6"/>
    </row>
    <row r="5" ht="15.75" customHeight="1">
      <c r="A5" s="32"/>
      <c r="B5" s="33" t="s">
        <v>24</v>
      </c>
      <c r="C5" s="34"/>
      <c r="D5" s="35" t="s">
        <v>25</v>
      </c>
      <c r="E5" s="35" t="s">
        <v>26</v>
      </c>
      <c r="F5" s="35" t="s">
        <v>27</v>
      </c>
      <c r="G5" s="36" t="s">
        <v>28</v>
      </c>
      <c r="H5" s="30"/>
      <c r="I5" s="1"/>
      <c r="J5" s="1"/>
      <c r="K5" s="1"/>
      <c r="L5" s="1"/>
      <c r="M5" s="1"/>
      <c r="N5" s="1"/>
      <c r="O5" s="1"/>
      <c r="P5" s="1"/>
      <c r="Q5" s="1"/>
      <c r="R5" s="1"/>
      <c r="S5" s="1"/>
      <c r="T5" s="1"/>
      <c r="U5" s="1"/>
      <c r="V5" s="1"/>
      <c r="W5" s="1"/>
      <c r="X5" s="1"/>
      <c r="Y5" s="1"/>
      <c r="Z5" s="1"/>
      <c r="AA5" s="1"/>
    </row>
    <row r="6" ht="15.75" customHeight="1">
      <c r="A6" s="37"/>
      <c r="B6" s="38" t="s">
        <v>2</v>
      </c>
      <c r="C6" s="9"/>
      <c r="D6" s="39" t="str">
        <f>'A&amp;U'!C35</f>
        <v>$24,900 + n*(CPI*2.5+$0.68)</v>
      </c>
      <c r="E6" s="39" t="str">
        <f>'A&amp;U'!D35</f>
        <v>$28,400 + n*(CPI*2.5+$0.68)</v>
      </c>
      <c r="F6" s="39" t="str">
        <f>'A&amp;U'!E35</f>
        <v>$35,900 + n*(CPI*2.5+$0.68)</v>
      </c>
      <c r="G6" s="40" t="str">
        <f>'A&amp;U'!F35</f>
        <v>Custom</v>
      </c>
      <c r="H6" s="30"/>
      <c r="I6" s="1"/>
      <c r="J6" s="1"/>
      <c r="K6" s="1"/>
      <c r="L6" s="1"/>
      <c r="M6" s="1"/>
      <c r="N6" s="1"/>
      <c r="O6" s="1"/>
      <c r="P6" s="1"/>
      <c r="Q6" s="1"/>
      <c r="R6" s="1"/>
      <c r="S6" s="1"/>
      <c r="T6" s="1"/>
      <c r="U6" s="1"/>
      <c r="V6" s="1"/>
      <c r="W6" s="1"/>
      <c r="X6" s="1"/>
      <c r="Y6" s="1"/>
      <c r="Z6" s="1"/>
      <c r="AA6" s="1"/>
    </row>
    <row r="7" ht="15.75" customHeight="1">
      <c r="A7" s="37"/>
      <c r="B7" s="38" t="s">
        <v>3</v>
      </c>
      <c r="C7" s="9"/>
      <c r="D7" s="39" t="str">
        <f>'Ad Testing'!C36</f>
        <v>$24,500 + n*(CPI*2.5+$0.68)</v>
      </c>
      <c r="E7" s="39" t="str">
        <f>'Ad Testing'!D36</f>
        <v>$27,000 + n*(CPI*2.5+$2.04)</v>
      </c>
      <c r="F7" s="39" t="str">
        <f>'Ad Testing'!E36</f>
        <v>$32,900 + n*(CPI*2.5+$2.04)</v>
      </c>
      <c r="G7" s="40" t="str">
        <f>'Ad Testing'!F36</f>
        <v>Custom</v>
      </c>
      <c r="H7" s="30"/>
      <c r="I7" s="1"/>
      <c r="J7" s="1"/>
      <c r="K7" s="1"/>
      <c r="L7" s="1"/>
      <c r="M7" s="1"/>
      <c r="N7" s="1"/>
      <c r="O7" s="1"/>
      <c r="P7" s="1"/>
      <c r="Q7" s="1"/>
      <c r="R7" s="1"/>
      <c r="S7" s="1"/>
      <c r="T7" s="1"/>
      <c r="U7" s="1"/>
      <c r="V7" s="1"/>
      <c r="W7" s="1"/>
      <c r="X7" s="1"/>
      <c r="Y7" s="1"/>
      <c r="Z7" s="1"/>
      <c r="AA7" s="1"/>
    </row>
    <row r="8" ht="15.75" customHeight="1">
      <c r="A8" s="37"/>
      <c r="B8" s="38" t="s">
        <v>29</v>
      </c>
      <c r="C8" s="9"/>
      <c r="D8" s="9"/>
      <c r="E8" s="9"/>
      <c r="F8" s="9"/>
      <c r="G8" s="41"/>
      <c r="H8" s="30"/>
      <c r="I8" s="1"/>
      <c r="J8" s="1"/>
      <c r="K8" s="1"/>
      <c r="L8" s="1"/>
      <c r="M8" s="1"/>
      <c r="N8" s="1"/>
      <c r="O8" s="1"/>
      <c r="P8" s="1"/>
      <c r="Q8" s="1"/>
      <c r="R8" s="1"/>
      <c r="S8" s="1"/>
      <c r="T8" s="1"/>
      <c r="U8" s="1"/>
      <c r="V8" s="1"/>
      <c r="W8" s="1"/>
      <c r="X8" s="1"/>
      <c r="Y8" s="1"/>
      <c r="Z8" s="1"/>
      <c r="AA8" s="1"/>
    </row>
    <row r="9" ht="15.75" customHeight="1">
      <c r="A9" s="37"/>
      <c r="B9" s="38" t="s">
        <v>4</v>
      </c>
      <c r="C9" s="9"/>
      <c r="D9" s="39" t="str">
        <f>'Concept Testing'!C35</f>
        <v>$24,500 + n*(CPI*2.5+$0.68)</v>
      </c>
      <c r="E9" s="39" t="str">
        <f>'Concept Testing'!D35</f>
        <v>$27,000 + n*(CPI*2.5+$2.04)</v>
      </c>
      <c r="F9" s="39" t="str">
        <f>'Concept Testing'!E35</f>
        <v>$32,900 + n*(CPI*2.5+$2.04)</v>
      </c>
      <c r="G9" s="40" t="str">
        <f>'Concept Testing'!F35</f>
        <v>Custom</v>
      </c>
      <c r="H9" s="30"/>
      <c r="I9" s="1"/>
      <c r="J9" s="1"/>
      <c r="K9" s="1"/>
      <c r="L9" s="1"/>
      <c r="M9" s="1"/>
      <c r="N9" s="1"/>
      <c r="O9" s="1"/>
      <c r="P9" s="1"/>
      <c r="Q9" s="1"/>
      <c r="R9" s="1"/>
      <c r="S9" s="1"/>
      <c r="T9" s="1"/>
      <c r="U9" s="1"/>
      <c r="V9" s="1"/>
      <c r="W9" s="1"/>
      <c r="X9" s="1"/>
      <c r="Y9" s="1"/>
      <c r="Z9" s="1"/>
      <c r="AA9" s="1"/>
    </row>
    <row r="10" ht="15.75" customHeight="1">
      <c r="A10" s="37"/>
      <c r="B10" s="38" t="s">
        <v>5</v>
      </c>
      <c r="C10" s="9"/>
      <c r="D10" s="39" t="str">
        <f>'Competitive Benchmarking'!C35</f>
        <v>$32,000 + n*(CPI*2.5+$1.68)</v>
      </c>
      <c r="E10" s="39" t="str">
        <f>'Competitive Benchmarking'!D35</f>
        <v>$36,000 + n*(CPI*2.5+$3.04)</v>
      </c>
      <c r="F10" s="39" t="str">
        <f>'Competitive Benchmarking'!E35</f>
        <v>$48,500 + n*(CPI*2.5+$3.04)</v>
      </c>
      <c r="G10" s="40" t="str">
        <f>'Competitive Benchmarking'!F35</f>
        <v>Custom</v>
      </c>
      <c r="H10" s="30"/>
      <c r="I10" s="1"/>
      <c r="J10" s="1"/>
      <c r="K10" s="1"/>
      <c r="L10" s="1"/>
      <c r="M10" s="1"/>
      <c r="N10" s="1"/>
      <c r="O10" s="1"/>
      <c r="P10" s="1"/>
      <c r="Q10" s="1"/>
      <c r="R10" s="1"/>
      <c r="S10" s="1"/>
      <c r="T10" s="1"/>
      <c r="U10" s="1"/>
      <c r="V10" s="1"/>
      <c r="W10" s="1"/>
      <c r="X10" s="1"/>
      <c r="Y10" s="1"/>
      <c r="Z10" s="1"/>
      <c r="AA10" s="1"/>
    </row>
    <row r="11" ht="15.75" customHeight="1">
      <c r="A11" s="37"/>
      <c r="B11" s="38" t="s">
        <v>6</v>
      </c>
      <c r="C11" s="9"/>
      <c r="D11" s="39" t="str">
        <f>'Competitive Landscape  Market L'!C35</f>
        <v>$21,000 + n*(CPI*2.5+$0.68)</v>
      </c>
      <c r="E11" s="39" t="str">
        <f>'Competitive Landscape  Market L'!D35</f>
        <v>$29,500 + n*(CPI*2.5+$0.68)</v>
      </c>
      <c r="F11" s="39" t="str">
        <f>'Competitive Landscape  Market L'!E35</f>
        <v>$37,500 + n*(CPI*2.5+$0.68)</v>
      </c>
      <c r="G11" s="40" t="str">
        <f>'Competitive Landscape  Market L'!F35</f>
        <v>Custom</v>
      </c>
      <c r="H11" s="30"/>
      <c r="I11" s="1"/>
      <c r="J11" s="1"/>
      <c r="K11" s="1"/>
      <c r="L11" s="1"/>
      <c r="M11" s="1"/>
      <c r="N11" s="1"/>
      <c r="O11" s="1"/>
      <c r="P11" s="1"/>
      <c r="Q11" s="1"/>
      <c r="R11" s="1"/>
      <c r="S11" s="1"/>
      <c r="T11" s="1"/>
      <c r="U11" s="1"/>
      <c r="V11" s="1"/>
      <c r="W11" s="1"/>
      <c r="X11" s="1"/>
      <c r="Y11" s="1"/>
      <c r="Z11" s="1"/>
      <c r="AA11" s="1"/>
    </row>
    <row r="12" ht="15.75" customHeight="1">
      <c r="A12" s="32"/>
      <c r="B12" s="38" t="s">
        <v>30</v>
      </c>
      <c r="C12" s="13"/>
      <c r="D12" s="42" t="str">
        <f>'Message Testing w MaxDiff'!C35</f>
        <v>$26,000 + n*(CPI*2.5)</v>
      </c>
      <c r="E12" s="42" t="str">
        <f>'Message Testing w MaxDiff'!D35</f>
        <v>$29,000 + n*(CPI*2.5)</v>
      </c>
      <c r="F12" s="42" t="str">
        <f>'Message Testing w MaxDiff'!E35</f>
        <v>$40,000 + n*(CPI*2.5)</v>
      </c>
      <c r="G12" s="43" t="str">
        <f>'Message Testing w MaxDiff'!F35</f>
        <v>Custom</v>
      </c>
      <c r="H12" s="30"/>
      <c r="I12" s="1"/>
      <c r="J12" s="1"/>
      <c r="K12" s="1"/>
      <c r="L12" s="1"/>
      <c r="M12" s="1"/>
      <c r="N12" s="1"/>
      <c r="O12" s="1"/>
      <c r="P12" s="1"/>
      <c r="Q12" s="1"/>
      <c r="R12" s="1"/>
      <c r="S12" s="1"/>
      <c r="T12" s="1"/>
      <c r="U12" s="1"/>
      <c r="V12" s="1"/>
      <c r="W12" s="1"/>
      <c r="X12" s="1"/>
      <c r="Y12" s="1"/>
      <c r="Z12" s="1"/>
      <c r="AA12" s="1"/>
    </row>
    <row r="13" ht="15.75" customHeight="1">
      <c r="A13" s="37"/>
      <c r="B13" s="38" t="s">
        <v>31</v>
      </c>
      <c r="C13" s="13"/>
      <c r="D13" s="39" t="str">
        <f>'Product Development w Conjoint'!C35</f>
        <v>$33,000 + n*(CPI*2.5)</v>
      </c>
      <c r="E13" s="39" t="str">
        <f>'Product Development w Conjoint'!D35</f>
        <v>$41,500 + n*(CPI*2.5)</v>
      </c>
      <c r="F13" s="39" t="str">
        <f>'Product Development w Conjoint'!E35</f>
        <v>$43,500 + n*(CPI*2.5)</v>
      </c>
      <c r="G13" s="40" t="str">
        <f>'Product Development w Conjoint'!F35</f>
        <v>Custom</v>
      </c>
      <c r="H13" s="30"/>
      <c r="I13" s="1"/>
      <c r="J13" s="1"/>
      <c r="K13" s="1"/>
      <c r="L13" s="1"/>
      <c r="M13" s="1"/>
      <c r="N13" s="1"/>
      <c r="O13" s="1"/>
      <c r="P13" s="1"/>
      <c r="Q13" s="1"/>
      <c r="R13" s="1"/>
      <c r="S13" s="1"/>
      <c r="T13" s="1"/>
      <c r="U13" s="1"/>
      <c r="V13" s="1"/>
      <c r="W13" s="1"/>
      <c r="X13" s="1"/>
      <c r="Y13" s="1"/>
      <c r="Z13" s="1"/>
      <c r="AA13" s="1"/>
    </row>
    <row r="14" ht="15.75" customHeight="1">
      <c r="A14" s="37"/>
      <c r="B14" s="38" t="s">
        <v>32</v>
      </c>
      <c r="C14" s="13"/>
      <c r="D14" s="42" t="str">
        <f>'Product Development w MaxDiff'!C35</f>
        <v>$26,000 + n*(CPI*2.5)</v>
      </c>
      <c r="E14" s="42" t="str">
        <f>'Product Development w MaxDiff'!D35</f>
        <v>$29,000 + n*(CPI*2.5)</v>
      </c>
      <c r="F14" s="42" t="str">
        <f>'Product Development w MaxDiff'!E35</f>
        <v>$40,000 + n*(CPI*2.5)</v>
      </c>
      <c r="G14" s="43" t="str">
        <f>'Product Development w MaxDiff'!F35</f>
        <v>Custom</v>
      </c>
      <c r="H14" s="30"/>
      <c r="I14" s="1"/>
      <c r="J14" s="1"/>
      <c r="K14" s="1"/>
      <c r="L14" s="1"/>
      <c r="M14" s="1"/>
      <c r="N14" s="1"/>
      <c r="O14" s="1"/>
      <c r="P14" s="1"/>
      <c r="Q14" s="1"/>
      <c r="R14" s="1"/>
      <c r="S14" s="1"/>
      <c r="T14" s="1"/>
      <c r="U14" s="1"/>
      <c r="V14" s="1"/>
      <c r="W14" s="1"/>
      <c r="X14" s="1"/>
      <c r="Y14" s="1"/>
      <c r="Z14" s="1"/>
      <c r="AA14" s="1"/>
    </row>
    <row r="15" ht="15.75" customHeight="1">
      <c r="A15" s="37"/>
      <c r="B15" s="44" t="s">
        <v>10</v>
      </c>
      <c r="C15" s="45"/>
      <c r="D15" s="45" t="str">
        <f>Segmentation!C35</f>
        <v>$57,750 + n*(CPI*2.5)</v>
      </c>
      <c r="E15" s="45" t="str">
        <f>Segmentation!D35</f>
        <v/>
      </c>
      <c r="F15" s="45" t="str">
        <f>Segmentation!E35</f>
        <v/>
      </c>
      <c r="G15" s="46" t="str">
        <f>Segmentation!F35</f>
        <v>Custom</v>
      </c>
      <c r="H15" s="30"/>
      <c r="I15" s="1"/>
      <c r="J15" s="1"/>
      <c r="K15" s="1"/>
      <c r="L15" s="1"/>
      <c r="M15" s="1"/>
      <c r="N15" s="1"/>
      <c r="O15" s="1"/>
      <c r="P15" s="1"/>
      <c r="Q15" s="1"/>
      <c r="R15" s="1"/>
      <c r="S15" s="1"/>
      <c r="T15" s="1"/>
      <c r="U15" s="1"/>
      <c r="V15" s="1"/>
      <c r="W15" s="1"/>
      <c r="X15" s="1"/>
      <c r="Y15" s="1"/>
      <c r="Z15" s="1"/>
      <c r="AA15" s="1"/>
    </row>
    <row r="16" ht="15.75" customHeight="1">
      <c r="A16" s="1"/>
      <c r="B16" s="47"/>
      <c r="C16" s="47"/>
      <c r="D16" s="47"/>
      <c r="E16" s="47"/>
      <c r="F16" s="31"/>
      <c r="G16" s="31"/>
      <c r="H16" s="1"/>
      <c r="I16" s="1"/>
      <c r="J16" s="1"/>
      <c r="K16" s="1"/>
      <c r="L16" s="1"/>
      <c r="M16" s="1"/>
      <c r="N16" s="1"/>
      <c r="O16" s="1"/>
      <c r="P16" s="1"/>
      <c r="Q16" s="1"/>
      <c r="R16" s="1"/>
      <c r="S16" s="1"/>
      <c r="T16" s="1"/>
      <c r="U16" s="1"/>
      <c r="V16" s="1"/>
      <c r="W16" s="1"/>
      <c r="X16" s="1"/>
      <c r="Y16" s="1"/>
      <c r="Z16" s="1"/>
      <c r="AA16" s="1"/>
    </row>
    <row r="17" ht="15.75" customHeight="1">
      <c r="A17" s="48"/>
      <c r="B17" s="33" t="s">
        <v>33</v>
      </c>
      <c r="C17" s="35"/>
      <c r="D17" s="35"/>
      <c r="E17" s="36"/>
      <c r="F17" s="30"/>
      <c r="G17" s="1"/>
      <c r="H17" s="6"/>
      <c r="I17" s="6"/>
      <c r="J17" s="6"/>
      <c r="K17" s="6"/>
      <c r="L17" s="6"/>
      <c r="M17" s="6"/>
      <c r="N17" s="6"/>
      <c r="O17" s="6"/>
      <c r="P17" s="6"/>
      <c r="Q17" s="6"/>
      <c r="R17" s="6"/>
      <c r="S17" s="6"/>
      <c r="T17" s="6"/>
      <c r="U17" s="6"/>
      <c r="V17" s="6"/>
      <c r="W17" s="6"/>
      <c r="X17" s="6"/>
      <c r="Y17" s="6"/>
      <c r="Z17" s="6"/>
      <c r="AA17" s="6"/>
    </row>
    <row r="18" ht="15.75" customHeight="1">
      <c r="A18" s="37"/>
      <c r="B18" s="38" t="s">
        <v>34</v>
      </c>
      <c r="C18" s="13"/>
      <c r="D18" s="49">
        <v>3.0</v>
      </c>
      <c r="E18" s="50" t="s">
        <v>35</v>
      </c>
      <c r="F18" s="30"/>
      <c r="G18" s="1"/>
      <c r="H18" s="1"/>
      <c r="I18" s="1"/>
      <c r="J18" s="1"/>
      <c r="K18" s="1"/>
      <c r="L18" s="1"/>
      <c r="M18" s="1"/>
      <c r="N18" s="1"/>
      <c r="O18" s="1"/>
      <c r="P18" s="1"/>
      <c r="Q18" s="1"/>
      <c r="R18" s="1"/>
      <c r="S18" s="1"/>
      <c r="T18" s="1"/>
      <c r="U18" s="1"/>
      <c r="V18" s="1"/>
      <c r="W18" s="1"/>
      <c r="X18" s="1"/>
      <c r="Y18" s="1"/>
      <c r="Z18" s="1"/>
      <c r="AA18" s="1"/>
    </row>
    <row r="19" ht="15.75" customHeight="1">
      <c r="A19" s="37"/>
      <c r="B19" s="38" t="s">
        <v>36</v>
      </c>
      <c r="C19" s="8"/>
      <c r="D19" s="51">
        <v>0.6</v>
      </c>
      <c r="E19" s="50" t="s">
        <v>37</v>
      </c>
      <c r="F19" s="30"/>
      <c r="G19" s="1"/>
      <c r="H19" s="1"/>
      <c r="I19" s="1"/>
      <c r="J19" s="1"/>
      <c r="K19" s="1"/>
      <c r="L19" s="1"/>
      <c r="M19" s="1"/>
      <c r="N19" s="1"/>
      <c r="O19" s="1"/>
      <c r="P19" s="1"/>
      <c r="Q19" s="1"/>
      <c r="R19" s="1"/>
      <c r="S19" s="1"/>
      <c r="T19" s="1"/>
      <c r="U19" s="1"/>
      <c r="V19" s="1"/>
      <c r="W19" s="1"/>
      <c r="X19" s="1"/>
      <c r="Y19" s="1"/>
      <c r="Z19" s="1"/>
      <c r="AA19" s="1"/>
    </row>
    <row r="20" ht="15.75" customHeight="1">
      <c r="A20" s="37"/>
      <c r="B20" s="38" t="s">
        <v>38</v>
      </c>
      <c r="C20" s="8"/>
      <c r="D20" s="52">
        <f>max(D18/(1-D19),5)</f>
        <v>7.5</v>
      </c>
      <c r="E20" s="53" t="s">
        <v>39</v>
      </c>
      <c r="F20" s="30"/>
      <c r="G20" s="1"/>
      <c r="H20" s="1"/>
      <c r="I20" s="1"/>
      <c r="J20" s="1"/>
      <c r="K20" s="1"/>
      <c r="L20" s="1"/>
      <c r="M20" s="1"/>
      <c r="N20" s="1"/>
      <c r="O20" s="1"/>
      <c r="P20" s="1"/>
      <c r="Q20" s="1"/>
      <c r="R20" s="1"/>
      <c r="S20" s="1"/>
      <c r="T20" s="1"/>
      <c r="U20" s="1"/>
      <c r="V20" s="1"/>
      <c r="W20" s="1"/>
      <c r="X20" s="1"/>
      <c r="Y20" s="1"/>
      <c r="Z20" s="1"/>
      <c r="AA20" s="1"/>
    </row>
    <row r="21" ht="15.75" customHeight="1">
      <c r="A21" s="37"/>
      <c r="B21" s="54"/>
      <c r="C21" s="55"/>
      <c r="D21" s="55"/>
      <c r="E21" s="56"/>
      <c r="F21" s="30"/>
      <c r="G21" s="1"/>
      <c r="H21" s="1"/>
      <c r="I21" s="1"/>
      <c r="J21" s="1"/>
      <c r="K21" s="1"/>
      <c r="L21" s="1"/>
      <c r="M21" s="1"/>
      <c r="N21" s="1"/>
      <c r="O21" s="1"/>
      <c r="P21" s="1"/>
      <c r="Q21" s="1"/>
      <c r="R21" s="1"/>
      <c r="S21" s="1"/>
      <c r="T21" s="1"/>
      <c r="U21" s="1"/>
      <c r="V21" s="1"/>
      <c r="W21" s="1"/>
      <c r="X21" s="1"/>
      <c r="Y21" s="1"/>
      <c r="Z21" s="1"/>
      <c r="AA21" s="1"/>
    </row>
    <row r="22" ht="15.75" customHeight="1">
      <c r="A22" s="37"/>
      <c r="B22" s="44" t="s">
        <v>40</v>
      </c>
      <c r="C22" s="57"/>
      <c r="D22" s="58">
        <v>2000.0</v>
      </c>
      <c r="E22" s="59" t="s">
        <v>41</v>
      </c>
      <c r="F22" s="30"/>
      <c r="G22" s="1"/>
      <c r="H22" s="1"/>
      <c r="I22" s="1"/>
      <c r="J22" s="1"/>
      <c r="K22" s="1"/>
      <c r="L22" s="1"/>
      <c r="M22" s="1"/>
      <c r="N22" s="1"/>
      <c r="O22" s="1"/>
      <c r="P22" s="1"/>
      <c r="Q22" s="1"/>
      <c r="R22" s="1"/>
      <c r="S22" s="1"/>
      <c r="T22" s="1"/>
      <c r="U22" s="1"/>
      <c r="V22" s="1"/>
      <c r="W22" s="1"/>
      <c r="X22" s="1"/>
      <c r="Y22" s="1"/>
      <c r="Z22" s="1"/>
      <c r="AA22" s="1"/>
    </row>
    <row r="23" ht="15.75" customHeight="1">
      <c r="A23" s="5"/>
      <c r="B23" s="31"/>
      <c r="C23" s="31"/>
      <c r="D23" s="31"/>
      <c r="E23" s="31"/>
      <c r="F23" s="1"/>
      <c r="G23" s="1"/>
      <c r="H23" s="1"/>
      <c r="I23" s="1"/>
      <c r="J23" s="1"/>
      <c r="K23" s="1"/>
      <c r="L23" s="1"/>
      <c r="M23" s="1"/>
      <c r="N23" s="1"/>
      <c r="O23" s="1"/>
      <c r="P23" s="1"/>
      <c r="Q23" s="1"/>
      <c r="R23" s="1"/>
      <c r="S23" s="1"/>
      <c r="T23" s="1"/>
      <c r="U23" s="1"/>
      <c r="V23" s="1"/>
      <c r="W23" s="1"/>
      <c r="X23" s="1"/>
      <c r="Y23" s="1"/>
      <c r="Z23" s="1"/>
      <c r="AA23" s="1"/>
    </row>
    <row r="24" ht="15.75" customHeight="1">
      <c r="A24" s="37"/>
      <c r="B24" s="33" t="s">
        <v>42</v>
      </c>
      <c r="C24" s="34"/>
      <c r="D24" s="35" t="s">
        <v>25</v>
      </c>
      <c r="E24" s="35" t="s">
        <v>26</v>
      </c>
      <c r="F24" s="35" t="s">
        <v>27</v>
      </c>
      <c r="G24" s="36" t="s">
        <v>28</v>
      </c>
      <c r="H24" s="30"/>
      <c r="I24" s="1"/>
      <c r="J24" s="1"/>
      <c r="K24" s="1"/>
      <c r="L24" s="1"/>
      <c r="M24" s="1"/>
      <c r="N24" s="1"/>
      <c r="O24" s="1"/>
      <c r="P24" s="1"/>
      <c r="Q24" s="1"/>
      <c r="R24" s="1"/>
      <c r="S24" s="1"/>
      <c r="T24" s="1"/>
      <c r="U24" s="1"/>
      <c r="V24" s="1"/>
      <c r="W24" s="1"/>
      <c r="X24" s="1"/>
      <c r="Y24" s="1"/>
      <c r="Z24" s="1"/>
      <c r="AA24" s="1"/>
    </row>
    <row r="25" ht="15.75" customHeight="1">
      <c r="A25" s="37"/>
      <c r="B25" s="38" t="s">
        <v>2</v>
      </c>
      <c r="C25" s="9"/>
      <c r="D25" s="60">
        <f t="shared" ref="D25:F25" si="1">D35+$D$22*($D$20+0.68)</f>
        <v>41260</v>
      </c>
      <c r="E25" s="60">
        <f t="shared" si="1"/>
        <v>44760</v>
      </c>
      <c r="F25" s="60">
        <f t="shared" si="1"/>
        <v>52260</v>
      </c>
      <c r="G25" s="40" t="str">
        <f t="shared" ref="G25:G26" si="3">G6</f>
        <v>Custom</v>
      </c>
      <c r="H25" s="30"/>
      <c r="I25" s="1"/>
      <c r="J25" s="1"/>
      <c r="K25" s="1"/>
      <c r="L25" s="1"/>
      <c r="M25" s="1"/>
      <c r="N25" s="1"/>
      <c r="O25" s="1"/>
      <c r="P25" s="1"/>
      <c r="Q25" s="1"/>
      <c r="R25" s="1"/>
      <c r="S25" s="1"/>
      <c r="T25" s="1"/>
      <c r="U25" s="1"/>
      <c r="V25" s="1"/>
      <c r="W25" s="1"/>
      <c r="X25" s="1"/>
      <c r="Y25" s="1"/>
      <c r="Z25" s="1"/>
      <c r="AA25" s="1"/>
    </row>
    <row r="26" ht="15.75" customHeight="1">
      <c r="A26" s="32"/>
      <c r="B26" s="38" t="s">
        <v>3</v>
      </c>
      <c r="C26" s="9"/>
      <c r="D26" s="60">
        <f>D36+$D$22*($D$20+0.68)</f>
        <v>40860</v>
      </c>
      <c r="E26" s="60">
        <f t="shared" ref="E26:F26" si="2">E36+$D$22*($D$20+2.04)</f>
        <v>46080</v>
      </c>
      <c r="F26" s="60">
        <f t="shared" si="2"/>
        <v>51980</v>
      </c>
      <c r="G26" s="40" t="str">
        <f t="shared" si="3"/>
        <v>Custom</v>
      </c>
      <c r="H26" s="30"/>
      <c r="I26" s="1"/>
      <c r="J26" s="1"/>
      <c r="K26" s="1"/>
      <c r="L26" s="1"/>
      <c r="M26" s="1"/>
      <c r="N26" s="1"/>
      <c r="O26" s="1"/>
      <c r="P26" s="1"/>
      <c r="Q26" s="1"/>
      <c r="R26" s="1"/>
      <c r="S26" s="1"/>
      <c r="T26" s="1"/>
      <c r="U26" s="1"/>
      <c r="V26" s="1"/>
      <c r="W26" s="1"/>
      <c r="X26" s="1"/>
      <c r="Y26" s="1"/>
      <c r="Z26" s="1"/>
      <c r="AA26" s="1"/>
    </row>
    <row r="27" ht="15.75" customHeight="1">
      <c r="A27" s="32"/>
      <c r="B27" s="38" t="s">
        <v>4</v>
      </c>
      <c r="C27" s="9"/>
      <c r="D27" s="60">
        <f>D38+$D$22*($D$20+0.68)</f>
        <v>40860</v>
      </c>
      <c r="E27" s="60">
        <f t="shared" ref="E27:F27" si="4">E38+$D$22*($D$20+2.04)</f>
        <v>46080</v>
      </c>
      <c r="F27" s="60">
        <f t="shared" si="4"/>
        <v>51980</v>
      </c>
      <c r="G27" s="40" t="str">
        <f t="shared" ref="G27:G33" si="6">G9</f>
        <v>Custom</v>
      </c>
      <c r="H27" s="30"/>
      <c r="I27" s="1"/>
      <c r="J27" s="1"/>
      <c r="K27" s="1"/>
      <c r="L27" s="1"/>
      <c r="M27" s="1"/>
      <c r="N27" s="1"/>
      <c r="O27" s="1"/>
      <c r="P27" s="1"/>
      <c r="Q27" s="1"/>
      <c r="R27" s="1"/>
      <c r="S27" s="1"/>
      <c r="T27" s="1"/>
      <c r="U27" s="1"/>
      <c r="V27" s="1"/>
      <c r="W27" s="1"/>
      <c r="X27" s="1"/>
      <c r="Y27" s="1"/>
      <c r="Z27" s="1"/>
      <c r="AA27" s="1"/>
    </row>
    <row r="28" ht="15.75" customHeight="1">
      <c r="A28" s="32"/>
      <c r="B28" s="38" t="s">
        <v>5</v>
      </c>
      <c r="C28" s="9"/>
      <c r="D28" s="60">
        <f>D39+$D$22*($D$20+1.68)</f>
        <v>50360</v>
      </c>
      <c r="E28" s="60">
        <f t="shared" ref="E28:F28" si="5">E39+$D$22*($D$20+3.04)</f>
        <v>57080</v>
      </c>
      <c r="F28" s="60">
        <f t="shared" si="5"/>
        <v>69580</v>
      </c>
      <c r="G28" s="40" t="str">
        <f t="shared" si="6"/>
        <v>Custom</v>
      </c>
      <c r="H28" s="30"/>
      <c r="I28" s="1"/>
      <c r="J28" s="1"/>
      <c r="K28" s="1"/>
      <c r="L28" s="1"/>
      <c r="M28" s="1"/>
      <c r="N28" s="1"/>
      <c r="O28" s="1"/>
      <c r="P28" s="1"/>
      <c r="Q28" s="1"/>
      <c r="R28" s="1"/>
      <c r="S28" s="1"/>
      <c r="T28" s="1"/>
      <c r="U28" s="1"/>
      <c r="V28" s="1"/>
      <c r="W28" s="1"/>
      <c r="X28" s="1"/>
      <c r="Y28" s="1"/>
      <c r="Z28" s="1"/>
      <c r="AA28" s="1"/>
    </row>
    <row r="29" ht="15.75" customHeight="1">
      <c r="A29" s="32"/>
      <c r="B29" s="38" t="s">
        <v>6</v>
      </c>
      <c r="C29" s="9"/>
      <c r="D29" s="60">
        <f t="shared" ref="D29:F29" si="7">D40+$D$22*($D$20+0.68)</f>
        <v>37360</v>
      </c>
      <c r="E29" s="60">
        <f t="shared" si="7"/>
        <v>45860</v>
      </c>
      <c r="F29" s="60">
        <f t="shared" si="7"/>
        <v>53860</v>
      </c>
      <c r="G29" s="40" t="str">
        <f t="shared" si="6"/>
        <v>Custom</v>
      </c>
      <c r="H29" s="30"/>
      <c r="I29" s="1"/>
      <c r="J29" s="1"/>
      <c r="K29" s="1"/>
      <c r="L29" s="1"/>
      <c r="M29" s="1"/>
      <c r="N29" s="1"/>
      <c r="O29" s="1"/>
      <c r="P29" s="1"/>
      <c r="Q29" s="1"/>
      <c r="R29" s="1"/>
      <c r="S29" s="1"/>
      <c r="T29" s="1"/>
      <c r="U29" s="1"/>
      <c r="V29" s="1"/>
      <c r="W29" s="1"/>
      <c r="X29" s="1"/>
      <c r="Y29" s="1"/>
      <c r="Z29" s="1"/>
      <c r="AA29" s="1"/>
    </row>
    <row r="30" ht="15.75" customHeight="1">
      <c r="A30" s="32"/>
      <c r="B30" s="38" t="s">
        <v>30</v>
      </c>
      <c r="C30" s="13"/>
      <c r="D30" s="60">
        <f t="shared" ref="D30:F30" si="8">D41+$D$22*($D$20)</f>
        <v>41000</v>
      </c>
      <c r="E30" s="60">
        <f t="shared" si="8"/>
        <v>44000</v>
      </c>
      <c r="F30" s="60">
        <f t="shared" si="8"/>
        <v>55000</v>
      </c>
      <c r="G30" s="40" t="str">
        <f t="shared" si="6"/>
        <v>Custom</v>
      </c>
      <c r="H30" s="30"/>
      <c r="I30" s="1"/>
      <c r="J30" s="1"/>
      <c r="K30" s="1"/>
      <c r="L30" s="1"/>
      <c r="M30" s="1"/>
      <c r="N30" s="1"/>
      <c r="O30" s="1"/>
      <c r="P30" s="1"/>
      <c r="Q30" s="1"/>
      <c r="R30" s="1"/>
      <c r="S30" s="1"/>
      <c r="T30" s="1"/>
      <c r="U30" s="1"/>
      <c r="V30" s="1"/>
      <c r="W30" s="1"/>
      <c r="X30" s="1"/>
      <c r="Y30" s="1"/>
      <c r="Z30" s="1"/>
      <c r="AA30" s="1"/>
    </row>
    <row r="31" ht="15.75" customHeight="1">
      <c r="A31" s="32"/>
      <c r="B31" s="38" t="s">
        <v>31</v>
      </c>
      <c r="C31" s="13"/>
      <c r="D31" s="60">
        <f t="shared" ref="D31:F31" si="9">D42+$D$22*($D$20)</f>
        <v>48000</v>
      </c>
      <c r="E31" s="60">
        <f t="shared" si="9"/>
        <v>56500</v>
      </c>
      <c r="F31" s="60">
        <f t="shared" si="9"/>
        <v>58500</v>
      </c>
      <c r="G31" s="40" t="str">
        <f t="shared" si="6"/>
        <v>Custom</v>
      </c>
      <c r="H31" s="30"/>
      <c r="I31" s="1"/>
      <c r="J31" s="1"/>
      <c r="K31" s="1"/>
      <c r="L31" s="1"/>
      <c r="M31" s="1"/>
      <c r="N31" s="1"/>
      <c r="O31" s="1"/>
      <c r="P31" s="1"/>
      <c r="Q31" s="1"/>
      <c r="R31" s="1"/>
      <c r="S31" s="1"/>
      <c r="T31" s="1"/>
      <c r="U31" s="1"/>
      <c r="V31" s="1"/>
      <c r="W31" s="1"/>
      <c r="X31" s="1"/>
      <c r="Y31" s="1"/>
      <c r="Z31" s="1"/>
      <c r="AA31" s="1"/>
    </row>
    <row r="32" ht="15.75" customHeight="1">
      <c r="A32" s="32"/>
      <c r="B32" s="38" t="s">
        <v>32</v>
      </c>
      <c r="C32" s="13"/>
      <c r="D32" s="60">
        <f t="shared" ref="D32:F32" si="10">D43+$D$22*($D$20)</f>
        <v>41000</v>
      </c>
      <c r="E32" s="60">
        <f t="shared" si="10"/>
        <v>44000</v>
      </c>
      <c r="F32" s="60">
        <f t="shared" si="10"/>
        <v>55000</v>
      </c>
      <c r="G32" s="40" t="str">
        <f t="shared" si="6"/>
        <v>Custom</v>
      </c>
      <c r="H32" s="30"/>
      <c r="I32" s="1"/>
      <c r="J32" s="1"/>
      <c r="K32" s="1"/>
      <c r="L32" s="1"/>
      <c r="M32" s="1"/>
      <c r="N32" s="1"/>
      <c r="O32" s="1"/>
      <c r="P32" s="1"/>
      <c r="Q32" s="1"/>
      <c r="R32" s="1"/>
      <c r="S32" s="1"/>
      <c r="T32" s="1"/>
      <c r="U32" s="1"/>
      <c r="V32" s="1"/>
      <c r="W32" s="1"/>
      <c r="X32" s="1"/>
      <c r="Y32" s="1"/>
      <c r="Z32" s="1"/>
      <c r="AA32" s="1"/>
    </row>
    <row r="33" ht="15.75" customHeight="1">
      <c r="A33" s="32"/>
      <c r="B33" s="44" t="s">
        <v>10</v>
      </c>
      <c r="C33" s="45"/>
      <c r="D33" s="61">
        <f>D44+$D$22*($D$20)</f>
        <v>72750</v>
      </c>
      <c r="E33" s="61" t="s">
        <v>43</v>
      </c>
      <c r="F33" s="61" t="s">
        <v>43</v>
      </c>
      <c r="G33" s="62" t="str">
        <f t="shared" si="6"/>
        <v>Custom</v>
      </c>
      <c r="H33" s="30"/>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hidden="1" customHeight="1">
      <c r="A35" s="1"/>
      <c r="B35" s="3" t="s">
        <v>2</v>
      </c>
      <c r="C35" s="1"/>
      <c r="D35" s="1" t="str">
        <f t="shared" ref="D35:D44" si="12">left(D6,7)</f>
        <v>$24,900</v>
      </c>
      <c r="E35" s="1" t="str">
        <f t="shared" ref="E35:F35" si="11">LEFT(E6,7)</f>
        <v>$28,400</v>
      </c>
      <c r="F35" s="1" t="str">
        <f t="shared" si="11"/>
        <v>$35,900</v>
      </c>
      <c r="G35" s="1"/>
      <c r="H35" s="1"/>
      <c r="I35" s="1"/>
      <c r="J35" s="1"/>
      <c r="K35" s="1"/>
      <c r="L35" s="1"/>
      <c r="M35" s="1"/>
      <c r="N35" s="1"/>
      <c r="O35" s="1"/>
      <c r="P35" s="1"/>
      <c r="Q35" s="1"/>
      <c r="R35" s="1"/>
      <c r="S35" s="1"/>
      <c r="T35" s="1"/>
      <c r="U35" s="1"/>
      <c r="V35" s="1"/>
      <c r="W35" s="1"/>
      <c r="X35" s="1"/>
      <c r="Y35" s="1"/>
      <c r="Z35" s="1"/>
      <c r="AA35" s="1"/>
    </row>
    <row r="36" ht="15.75" hidden="1" customHeight="1">
      <c r="A36" s="1"/>
      <c r="B36" s="3" t="s">
        <v>44</v>
      </c>
      <c r="C36" s="1"/>
      <c r="D36" s="1" t="str">
        <f t="shared" si="12"/>
        <v>$24,500</v>
      </c>
      <c r="E36" s="1" t="str">
        <f t="shared" ref="E36:F36" si="13">LEFT(E7,7)</f>
        <v>$27,000</v>
      </c>
      <c r="F36" s="1" t="str">
        <f t="shared" si="13"/>
        <v>$32,900</v>
      </c>
      <c r="G36" s="1"/>
      <c r="H36" s="1"/>
      <c r="I36" s="1"/>
      <c r="J36" s="1"/>
      <c r="K36" s="1"/>
      <c r="L36" s="1"/>
      <c r="M36" s="1"/>
      <c r="N36" s="1"/>
      <c r="O36" s="1"/>
      <c r="P36" s="1"/>
      <c r="Q36" s="1"/>
      <c r="R36" s="1"/>
      <c r="S36" s="1"/>
      <c r="T36" s="1"/>
      <c r="U36" s="1"/>
      <c r="V36" s="1"/>
      <c r="W36" s="1"/>
      <c r="X36" s="1"/>
      <c r="Y36" s="1"/>
      <c r="Z36" s="1"/>
      <c r="AA36" s="1"/>
      <c r="AB36" s="1"/>
      <c r="AC36" s="1"/>
    </row>
    <row r="37" ht="15.75" hidden="1" customHeight="1">
      <c r="A37" s="1"/>
      <c r="B37" s="3" t="s">
        <v>29</v>
      </c>
      <c r="C37" s="1"/>
      <c r="D37" s="1" t="str">
        <f t="shared" si="12"/>
        <v/>
      </c>
      <c r="E37" s="1" t="str">
        <f t="shared" ref="E37:F37" si="14">LEFT(E8,7)</f>
        <v/>
      </c>
      <c r="F37" s="1" t="str">
        <f t="shared" si="14"/>
        <v/>
      </c>
      <c r="G37" s="1"/>
      <c r="H37" s="1"/>
      <c r="I37" s="1"/>
      <c r="J37" s="1"/>
      <c r="K37" s="1"/>
      <c r="L37" s="1"/>
      <c r="M37" s="1"/>
      <c r="N37" s="1"/>
      <c r="O37" s="1"/>
      <c r="P37" s="1"/>
      <c r="Q37" s="1"/>
      <c r="R37" s="1"/>
      <c r="S37" s="1"/>
      <c r="T37" s="1"/>
      <c r="U37" s="1"/>
      <c r="V37" s="1"/>
      <c r="W37" s="1"/>
      <c r="X37" s="1"/>
      <c r="Y37" s="1"/>
      <c r="Z37" s="1"/>
      <c r="AA37" s="1"/>
      <c r="AB37" s="1"/>
      <c r="AC37" s="1"/>
    </row>
    <row r="38" ht="15.75" hidden="1" customHeight="1">
      <c r="A38" s="1"/>
      <c r="B38" s="3" t="s">
        <v>4</v>
      </c>
      <c r="C38" s="1"/>
      <c r="D38" s="1" t="str">
        <f t="shared" si="12"/>
        <v>$24,500</v>
      </c>
      <c r="E38" s="1" t="str">
        <f t="shared" ref="E38:F38" si="15">LEFT(E9,7)</f>
        <v>$27,000</v>
      </c>
      <c r="F38" s="1" t="str">
        <f t="shared" si="15"/>
        <v>$32,900</v>
      </c>
      <c r="G38" s="1"/>
      <c r="H38" s="1"/>
      <c r="I38" s="1"/>
      <c r="J38" s="1"/>
      <c r="K38" s="1"/>
      <c r="L38" s="1"/>
      <c r="M38" s="1"/>
      <c r="N38" s="1"/>
      <c r="O38" s="1"/>
      <c r="P38" s="1"/>
      <c r="Q38" s="1"/>
      <c r="R38" s="1"/>
      <c r="S38" s="1"/>
      <c r="T38" s="1"/>
      <c r="U38" s="1"/>
      <c r="V38" s="1"/>
      <c r="W38" s="1"/>
      <c r="X38" s="1"/>
      <c r="Y38" s="1"/>
      <c r="Z38" s="1"/>
      <c r="AA38" s="1"/>
      <c r="AB38" s="1"/>
      <c r="AC38" s="1"/>
    </row>
    <row r="39" ht="15.75" hidden="1" customHeight="1">
      <c r="A39" s="1"/>
      <c r="B39" s="3" t="s">
        <v>5</v>
      </c>
      <c r="C39" s="1"/>
      <c r="D39" s="1" t="str">
        <f t="shared" si="12"/>
        <v>$32,000</v>
      </c>
      <c r="E39" s="1" t="str">
        <f t="shared" ref="E39:F39" si="16">LEFT(E10,7)</f>
        <v>$36,000</v>
      </c>
      <c r="F39" s="1" t="str">
        <f t="shared" si="16"/>
        <v>$48,500</v>
      </c>
      <c r="G39" s="1"/>
      <c r="H39" s="1"/>
      <c r="I39" s="1"/>
      <c r="J39" s="1"/>
      <c r="K39" s="1"/>
      <c r="L39" s="1"/>
      <c r="M39" s="1"/>
      <c r="N39" s="1"/>
      <c r="O39" s="1"/>
      <c r="P39" s="1"/>
      <c r="Q39" s="1"/>
      <c r="R39" s="1"/>
      <c r="S39" s="1"/>
      <c r="T39" s="1"/>
      <c r="U39" s="1"/>
      <c r="V39" s="1"/>
      <c r="W39" s="1"/>
      <c r="X39" s="1"/>
      <c r="Y39" s="1"/>
      <c r="Z39" s="1"/>
      <c r="AA39" s="1"/>
      <c r="AB39" s="1"/>
      <c r="AC39" s="1"/>
    </row>
    <row r="40" ht="15.75" hidden="1" customHeight="1">
      <c r="A40" s="1"/>
      <c r="B40" s="3" t="s">
        <v>6</v>
      </c>
      <c r="C40" s="1"/>
      <c r="D40" s="1" t="str">
        <f t="shared" si="12"/>
        <v>$21,000</v>
      </c>
      <c r="E40" s="1" t="str">
        <f t="shared" ref="E40:F40" si="17">LEFT(E11,7)</f>
        <v>$29,500</v>
      </c>
      <c r="F40" s="1" t="str">
        <f t="shared" si="17"/>
        <v>$37,500</v>
      </c>
      <c r="G40" s="1"/>
      <c r="H40" s="1"/>
      <c r="I40" s="1"/>
      <c r="J40" s="1"/>
      <c r="K40" s="1"/>
      <c r="L40" s="1"/>
      <c r="M40" s="1"/>
      <c r="N40" s="1"/>
      <c r="O40" s="1"/>
      <c r="P40" s="1"/>
      <c r="Q40" s="1"/>
      <c r="R40" s="1"/>
      <c r="S40" s="1"/>
      <c r="T40" s="1"/>
      <c r="U40" s="1"/>
      <c r="V40" s="1"/>
      <c r="W40" s="1"/>
      <c r="X40" s="1"/>
      <c r="Y40" s="1"/>
      <c r="Z40" s="1"/>
      <c r="AA40" s="1"/>
      <c r="AB40" s="1"/>
      <c r="AC40" s="1"/>
    </row>
    <row r="41" ht="15.75" hidden="1" customHeight="1">
      <c r="A41" s="1"/>
      <c r="B41" s="3" t="s">
        <v>30</v>
      </c>
      <c r="C41" s="1"/>
      <c r="D41" s="1" t="str">
        <f t="shared" si="12"/>
        <v>$26,000</v>
      </c>
      <c r="E41" s="1" t="str">
        <f t="shared" ref="E41:F41" si="18">LEFT(E12,7)</f>
        <v>$29,000</v>
      </c>
      <c r="F41" s="1" t="str">
        <f t="shared" si="18"/>
        <v>$40,000</v>
      </c>
      <c r="G41" s="1"/>
      <c r="H41" s="1"/>
      <c r="I41" s="1"/>
      <c r="J41" s="1"/>
      <c r="K41" s="1"/>
      <c r="L41" s="1"/>
      <c r="M41" s="1"/>
      <c r="N41" s="1"/>
      <c r="O41" s="1"/>
      <c r="P41" s="1"/>
      <c r="Q41" s="1"/>
      <c r="R41" s="1"/>
      <c r="S41" s="1"/>
      <c r="T41" s="1"/>
      <c r="U41" s="1"/>
      <c r="V41" s="1"/>
      <c r="W41" s="1"/>
      <c r="X41" s="1"/>
      <c r="Y41" s="1"/>
      <c r="Z41" s="1"/>
      <c r="AA41" s="1"/>
      <c r="AB41" s="1"/>
      <c r="AC41" s="1"/>
    </row>
    <row r="42" ht="15.75" hidden="1" customHeight="1">
      <c r="A42" s="1"/>
      <c r="B42" s="3" t="s">
        <v>31</v>
      </c>
      <c r="C42" s="1"/>
      <c r="D42" s="1" t="str">
        <f t="shared" si="12"/>
        <v>$33,000</v>
      </c>
      <c r="E42" s="1" t="str">
        <f t="shared" ref="E42:F42" si="19">LEFT(E13,7)</f>
        <v>$41,500</v>
      </c>
      <c r="F42" s="1" t="str">
        <f t="shared" si="19"/>
        <v>$43,500</v>
      </c>
      <c r="G42" s="1"/>
      <c r="H42" s="1"/>
      <c r="I42" s="1"/>
      <c r="J42" s="1"/>
      <c r="K42" s="1"/>
      <c r="L42" s="1"/>
      <c r="M42" s="1"/>
      <c r="N42" s="1"/>
      <c r="O42" s="1"/>
      <c r="P42" s="1"/>
      <c r="Q42" s="1"/>
      <c r="R42" s="1"/>
      <c r="S42" s="1"/>
      <c r="T42" s="1"/>
      <c r="U42" s="1"/>
      <c r="V42" s="1"/>
      <c r="W42" s="1"/>
      <c r="X42" s="1"/>
      <c r="Y42" s="1"/>
      <c r="Z42" s="1"/>
      <c r="AA42" s="1"/>
      <c r="AB42" s="1"/>
      <c r="AC42" s="1"/>
    </row>
    <row r="43" ht="15.75" hidden="1" customHeight="1">
      <c r="A43" s="1"/>
      <c r="B43" s="3" t="s">
        <v>32</v>
      </c>
      <c r="C43" s="1"/>
      <c r="D43" s="1" t="str">
        <f t="shared" si="12"/>
        <v>$26,000</v>
      </c>
      <c r="E43" s="1" t="str">
        <f t="shared" ref="E43:F43" si="20">LEFT(E14,7)</f>
        <v>$29,000</v>
      </c>
      <c r="F43" s="1" t="str">
        <f t="shared" si="20"/>
        <v>$40,000</v>
      </c>
      <c r="G43" s="1"/>
      <c r="H43" s="1"/>
      <c r="I43" s="1"/>
      <c r="J43" s="1"/>
      <c r="K43" s="1"/>
      <c r="L43" s="1"/>
      <c r="M43" s="1"/>
      <c r="N43" s="1"/>
      <c r="O43" s="1"/>
      <c r="P43" s="1"/>
      <c r="Q43" s="1"/>
      <c r="R43" s="1"/>
      <c r="S43" s="1"/>
      <c r="T43" s="1"/>
      <c r="U43" s="1"/>
      <c r="V43" s="1"/>
      <c r="W43" s="1"/>
      <c r="X43" s="1"/>
      <c r="Y43" s="1"/>
      <c r="Z43" s="1"/>
      <c r="AA43" s="1"/>
      <c r="AB43" s="1"/>
      <c r="AC43" s="1"/>
    </row>
    <row r="44" ht="15.75" hidden="1" customHeight="1">
      <c r="A44" s="1"/>
      <c r="B44" s="3" t="s">
        <v>10</v>
      </c>
      <c r="C44" s="1"/>
      <c r="D44" s="1" t="str">
        <f t="shared" si="12"/>
        <v>$57,750</v>
      </c>
      <c r="E44" s="1" t="str">
        <f t="shared" ref="E44:F44" si="21">LEFT(E15,7)</f>
        <v/>
      </c>
      <c r="F44" s="1" t="str">
        <f t="shared" si="21"/>
        <v/>
      </c>
      <c r="G44" s="1"/>
      <c r="H44" s="1"/>
      <c r="I44" s="1"/>
      <c r="J44" s="1"/>
      <c r="K44" s="1"/>
      <c r="L44" s="1"/>
      <c r="M44" s="1"/>
      <c r="N44" s="1"/>
      <c r="O44" s="1"/>
      <c r="P44" s="1"/>
      <c r="Q44" s="1"/>
      <c r="R44" s="1"/>
      <c r="S44" s="1"/>
      <c r="T44" s="1"/>
      <c r="U44" s="1"/>
      <c r="V44" s="1"/>
      <c r="W44" s="1"/>
      <c r="X44" s="1"/>
      <c r="Y44" s="1"/>
      <c r="Z44" s="1"/>
      <c r="AA44" s="1"/>
      <c r="AB44" s="1"/>
      <c r="AC44" s="1"/>
    </row>
    <row r="45" ht="15.75" customHeight="1">
      <c r="A45" s="1"/>
      <c r="B45" s="23"/>
      <c r="C45" s="23"/>
      <c r="D45" s="23"/>
      <c r="E45" s="1"/>
      <c r="F45" s="1"/>
      <c r="G45" s="1"/>
      <c r="H45" s="1"/>
      <c r="I45" s="1"/>
      <c r="J45" s="1"/>
      <c r="K45" s="1"/>
      <c r="L45" s="1"/>
      <c r="M45" s="1"/>
      <c r="N45" s="1"/>
      <c r="O45" s="1"/>
      <c r="P45" s="1"/>
      <c r="Q45" s="1"/>
      <c r="R45" s="1"/>
      <c r="S45" s="1"/>
      <c r="T45" s="1"/>
      <c r="U45" s="1"/>
      <c r="V45" s="1"/>
      <c r="W45" s="1"/>
      <c r="X45" s="1"/>
      <c r="Y45" s="1"/>
      <c r="Z45" s="1"/>
      <c r="AA45" s="1"/>
      <c r="AB45" s="1"/>
      <c r="AC45" s="1"/>
    </row>
    <row r="46" ht="15.75" customHeight="1">
      <c r="A46" s="32"/>
      <c r="B46" s="63" t="s">
        <v>45</v>
      </c>
      <c r="C46" s="64"/>
      <c r="D46" s="65"/>
      <c r="E46" s="30"/>
      <c r="F46" s="1"/>
      <c r="G46" s="1"/>
      <c r="H46" s="1"/>
      <c r="I46" s="1"/>
      <c r="J46" s="1"/>
      <c r="K46" s="1"/>
      <c r="L46" s="1"/>
      <c r="M46" s="1"/>
      <c r="N46" s="1"/>
      <c r="O46" s="1"/>
      <c r="P46" s="1"/>
      <c r="Q46" s="1"/>
      <c r="R46" s="1"/>
      <c r="S46" s="1"/>
      <c r="T46" s="1"/>
      <c r="U46" s="1"/>
      <c r="V46" s="1"/>
      <c r="W46" s="1"/>
      <c r="X46" s="1"/>
      <c r="Y46" s="1"/>
      <c r="Z46" s="1"/>
      <c r="AA46" s="1"/>
      <c r="AB46" s="1"/>
      <c r="AC46" s="1"/>
    </row>
    <row r="47" ht="15.75" customHeight="1">
      <c r="A47" s="32"/>
      <c r="B47" s="66" t="s">
        <v>46</v>
      </c>
      <c r="C47" s="67"/>
      <c r="D47" s="68">
        <f>sum(H50,H71,H94,H123, H141,H153)</f>
        <v>0</v>
      </c>
      <c r="E47" s="30"/>
      <c r="F47" s="1"/>
      <c r="G47" s="1"/>
      <c r="H47" s="1"/>
      <c r="I47" s="1"/>
      <c r="J47" s="1"/>
      <c r="K47" s="1"/>
      <c r="L47" s="1"/>
      <c r="M47" s="1"/>
      <c r="N47" s="1"/>
      <c r="O47" s="1"/>
      <c r="P47" s="1"/>
      <c r="Q47" s="1"/>
      <c r="R47" s="1"/>
      <c r="S47" s="1"/>
      <c r="T47" s="1"/>
      <c r="U47" s="1"/>
      <c r="V47" s="1"/>
      <c r="W47" s="1"/>
      <c r="X47" s="1"/>
      <c r="Y47" s="1"/>
      <c r="Z47" s="1"/>
      <c r="AA47" s="1"/>
      <c r="AB47" s="1"/>
      <c r="AC47" s="1"/>
    </row>
    <row r="48" ht="15.75" customHeight="1">
      <c r="A48" s="1"/>
      <c r="B48" s="31"/>
      <c r="C48" s="31"/>
      <c r="D48" s="31"/>
      <c r="E48" s="1"/>
      <c r="F48" s="1"/>
      <c r="G48" s="1"/>
      <c r="H48" s="1"/>
      <c r="I48" s="1"/>
      <c r="J48" s="1"/>
      <c r="K48" s="1"/>
      <c r="L48" s="1"/>
      <c r="M48" s="1"/>
      <c r="N48" s="1"/>
      <c r="O48" s="1"/>
      <c r="P48" s="1"/>
      <c r="Q48" s="1"/>
      <c r="R48" s="1"/>
      <c r="S48" s="1"/>
      <c r="T48" s="1"/>
      <c r="U48" s="1"/>
      <c r="V48" s="1"/>
      <c r="W48" s="1"/>
      <c r="X48" s="1"/>
      <c r="Y48" s="1"/>
      <c r="Z48" s="1"/>
      <c r="AA48" s="1"/>
      <c r="AB48" s="1"/>
      <c r="AC48" s="1"/>
    </row>
    <row r="49" ht="15.75" customHeight="1">
      <c r="A49" s="1"/>
      <c r="B49" s="69" t="s">
        <v>47</v>
      </c>
      <c r="C49" s="69"/>
      <c r="D49" s="69" t="s">
        <v>48</v>
      </c>
      <c r="E49" s="69" t="s">
        <v>49</v>
      </c>
      <c r="F49" s="70" t="s">
        <v>50</v>
      </c>
      <c r="G49" s="70" t="s">
        <v>51</v>
      </c>
      <c r="H49" s="69" t="s">
        <v>52</v>
      </c>
      <c r="I49" s="1"/>
      <c r="J49" s="1"/>
      <c r="K49" s="1"/>
      <c r="L49" s="1"/>
      <c r="M49" s="1"/>
      <c r="N49" s="1"/>
      <c r="O49" s="1"/>
      <c r="P49" s="1"/>
      <c r="Q49" s="1"/>
      <c r="R49" s="1"/>
      <c r="S49" s="1"/>
      <c r="T49" s="1"/>
      <c r="U49" s="1"/>
      <c r="V49" s="1"/>
      <c r="W49" s="1"/>
      <c r="X49" s="1"/>
      <c r="Y49" s="1"/>
      <c r="Z49" s="1"/>
      <c r="AA49" s="1"/>
      <c r="AB49" s="1"/>
      <c r="AC49" s="1"/>
    </row>
    <row r="50" ht="15.75" customHeight="1">
      <c r="A50" s="1"/>
      <c r="B50" s="71" t="s">
        <v>53</v>
      </c>
      <c r="C50" s="71"/>
      <c r="D50" s="71"/>
      <c r="E50" s="71"/>
      <c r="F50" s="72"/>
      <c r="G50" s="72" t="s">
        <v>54</v>
      </c>
      <c r="H50" s="73">
        <f>sum(H63:H69)</f>
        <v>0</v>
      </c>
      <c r="I50" s="74" t="str">
        <f>if((OR(C66=TRUE,C69=TRUE,C79=TRUE,C83=TRUE,C110=TRUE,C114=TRUE,C120=TRUE,C121=TRUE)=TRUE),"Plus custom quote estimate","")</f>
        <v/>
      </c>
      <c r="J50" s="1"/>
      <c r="K50" s="1"/>
      <c r="L50" s="1"/>
      <c r="M50" s="1"/>
      <c r="N50" s="1"/>
      <c r="O50" s="1"/>
      <c r="P50" s="1"/>
      <c r="Q50" s="1"/>
      <c r="R50" s="1"/>
      <c r="S50" s="1"/>
      <c r="T50" s="1"/>
      <c r="U50" s="1"/>
      <c r="V50" s="1"/>
      <c r="W50" s="1"/>
      <c r="X50" s="1"/>
      <c r="Y50" s="1"/>
      <c r="Z50" s="1"/>
      <c r="AA50" s="1"/>
      <c r="AB50" s="1"/>
      <c r="AC50" s="1"/>
    </row>
    <row r="51" ht="15.75" hidden="1" customHeight="1" outlineLevel="1">
      <c r="A51" s="1"/>
      <c r="B51" s="8"/>
      <c r="C51" s="8" t="b">
        <v>0</v>
      </c>
      <c r="D51" s="8" t="s">
        <v>55</v>
      </c>
      <c r="E51" s="8" t="s">
        <v>56</v>
      </c>
      <c r="F51" s="75" t="s">
        <v>57</v>
      </c>
      <c r="G51" s="76">
        <v>1.0</v>
      </c>
      <c r="H51" s="52" t="str">
        <f>if(C51=TRUE,G51*2000,"")</f>
        <v/>
      </c>
      <c r="I51" s="1"/>
      <c r="J51" s="1"/>
      <c r="K51" s="1"/>
      <c r="L51" s="1"/>
      <c r="M51" s="1"/>
      <c r="N51" s="1"/>
      <c r="O51" s="1"/>
      <c r="P51" s="1"/>
      <c r="Q51" s="1"/>
      <c r="R51" s="1"/>
      <c r="S51" s="1"/>
      <c r="T51" s="1"/>
      <c r="U51" s="1"/>
      <c r="V51" s="1"/>
      <c r="W51" s="1"/>
      <c r="X51" s="1"/>
      <c r="Y51" s="1"/>
      <c r="Z51" s="1"/>
      <c r="AA51" s="1"/>
      <c r="AB51" s="1"/>
      <c r="AC51" s="1"/>
    </row>
    <row r="52" ht="15.75" hidden="1" customHeight="1" outlineLevel="1">
      <c r="A52" s="1"/>
      <c r="B52" s="8"/>
      <c r="C52" s="8" t="b">
        <v>0</v>
      </c>
      <c r="D52" s="8" t="s">
        <v>55</v>
      </c>
      <c r="E52" s="8" t="s">
        <v>58</v>
      </c>
      <c r="F52" s="75" t="s">
        <v>57</v>
      </c>
      <c r="G52" s="76">
        <v>1.0</v>
      </c>
      <c r="H52" s="52" t="str">
        <f>if(C52=TRUE,G52*3000,"")</f>
        <v/>
      </c>
      <c r="I52" s="1"/>
      <c r="J52" s="1"/>
      <c r="K52" s="1"/>
      <c r="L52" s="1"/>
      <c r="M52" s="1"/>
      <c r="N52" s="1"/>
      <c r="O52" s="1"/>
      <c r="P52" s="1"/>
      <c r="Q52" s="1"/>
      <c r="R52" s="1"/>
      <c r="S52" s="1"/>
      <c r="T52" s="1"/>
      <c r="U52" s="1"/>
      <c r="V52" s="1"/>
      <c r="W52" s="1"/>
      <c r="X52" s="1"/>
      <c r="Y52" s="1"/>
      <c r="Z52" s="1"/>
      <c r="AA52" s="1"/>
      <c r="AB52" s="1"/>
      <c r="AC52" s="1"/>
    </row>
    <row r="53" ht="15.75" hidden="1" customHeight="1" outlineLevel="1">
      <c r="A53" s="1"/>
      <c r="B53" s="8"/>
      <c r="C53" s="8" t="b">
        <v>0</v>
      </c>
      <c r="D53" s="8" t="s">
        <v>55</v>
      </c>
      <c r="E53" s="8" t="s">
        <v>59</v>
      </c>
      <c r="F53" s="75" t="s">
        <v>57</v>
      </c>
      <c r="G53" s="76">
        <v>1.0</v>
      </c>
      <c r="H53" s="52" t="str">
        <f>if(C53=TRUE,G53*5000,"")</f>
        <v/>
      </c>
      <c r="I53" s="1"/>
      <c r="J53" s="1"/>
      <c r="K53" s="1"/>
      <c r="L53" s="1"/>
      <c r="M53" s="1"/>
      <c r="N53" s="1"/>
      <c r="O53" s="1"/>
      <c r="P53" s="1"/>
      <c r="Q53" s="1"/>
      <c r="R53" s="1"/>
      <c r="S53" s="1"/>
      <c r="T53" s="1"/>
      <c r="U53" s="1"/>
      <c r="V53" s="1"/>
      <c r="W53" s="1"/>
      <c r="X53" s="1"/>
      <c r="Y53" s="1"/>
      <c r="Z53" s="1"/>
      <c r="AA53" s="1"/>
      <c r="AB53" s="1"/>
      <c r="AC53" s="1"/>
    </row>
    <row r="54" ht="15.75" hidden="1" customHeight="1" outlineLevel="1">
      <c r="A54" s="1"/>
      <c r="B54" s="8"/>
      <c r="C54" s="8" t="b">
        <v>0</v>
      </c>
      <c r="D54" s="8" t="s">
        <v>55</v>
      </c>
      <c r="E54" s="8" t="s">
        <v>60</v>
      </c>
      <c r="F54" s="77" t="str">
        <f>if(C54=TRUE,"Custom Quote Required","")</f>
        <v/>
      </c>
      <c r="G54" s="76"/>
      <c r="H54" s="78" t="str">
        <f>if(C54=TRUE,"Custom Quote Required","")</f>
        <v/>
      </c>
      <c r="I54" s="1"/>
      <c r="J54" s="1"/>
      <c r="K54" s="1"/>
      <c r="L54" s="1"/>
      <c r="M54" s="1"/>
      <c r="N54" s="1"/>
      <c r="O54" s="1"/>
      <c r="P54" s="1"/>
      <c r="Q54" s="1"/>
      <c r="R54" s="1"/>
      <c r="S54" s="1"/>
      <c r="T54" s="1"/>
      <c r="U54" s="1"/>
      <c r="V54" s="1"/>
      <c r="W54" s="1"/>
      <c r="X54" s="1"/>
      <c r="Y54" s="1"/>
      <c r="Z54" s="1"/>
      <c r="AA54" s="1"/>
      <c r="AB54" s="1"/>
      <c r="AC54" s="1"/>
    </row>
    <row r="55" ht="15.75" hidden="1" customHeight="1" outlineLevel="1">
      <c r="A55" s="1"/>
      <c r="B55" s="8"/>
      <c r="C55" s="8" t="b">
        <v>0</v>
      </c>
      <c r="D55" s="8" t="s">
        <v>61</v>
      </c>
      <c r="E55" s="8" t="s">
        <v>56</v>
      </c>
      <c r="F55" s="75" t="s">
        <v>57</v>
      </c>
      <c r="G55" s="76">
        <v>1.0</v>
      </c>
      <c r="H55" s="52" t="str">
        <f>if(C55=TRUE,G55*8000,"")</f>
        <v/>
      </c>
      <c r="I55" s="1"/>
      <c r="J55" s="1"/>
      <c r="K55" s="1"/>
      <c r="L55" s="1"/>
      <c r="M55" s="1"/>
      <c r="N55" s="1"/>
      <c r="O55" s="1"/>
      <c r="P55" s="1"/>
      <c r="Q55" s="1"/>
      <c r="R55" s="1"/>
      <c r="S55" s="1"/>
      <c r="T55" s="1"/>
      <c r="U55" s="1"/>
      <c r="V55" s="1"/>
      <c r="W55" s="1"/>
      <c r="X55" s="1"/>
      <c r="Y55" s="1"/>
      <c r="Z55" s="1"/>
      <c r="AA55" s="1"/>
      <c r="AB55" s="1"/>
      <c r="AC55" s="1"/>
    </row>
    <row r="56" ht="15.75" hidden="1" customHeight="1" outlineLevel="1">
      <c r="A56" s="1"/>
      <c r="B56" s="8"/>
      <c r="C56" s="8" t="b">
        <v>0</v>
      </c>
      <c r="D56" s="8" t="s">
        <v>61</v>
      </c>
      <c r="E56" s="8" t="s">
        <v>58</v>
      </c>
      <c r="F56" s="75" t="s">
        <v>57</v>
      </c>
      <c r="G56" s="76">
        <v>1.0</v>
      </c>
      <c r="H56" s="52" t="str">
        <f>if(C56=TRUE,G56*10000,"")</f>
        <v/>
      </c>
      <c r="I56" s="1"/>
      <c r="J56" s="1"/>
      <c r="K56" s="1"/>
      <c r="L56" s="1"/>
      <c r="M56" s="1"/>
      <c r="N56" s="1"/>
      <c r="O56" s="1"/>
      <c r="P56" s="1"/>
      <c r="Q56" s="1"/>
      <c r="R56" s="1"/>
      <c r="S56" s="1"/>
      <c r="T56" s="1"/>
      <c r="U56" s="1"/>
      <c r="V56" s="1"/>
      <c r="W56" s="1"/>
      <c r="X56" s="1"/>
      <c r="Y56" s="1"/>
      <c r="Z56" s="1"/>
      <c r="AA56" s="1"/>
      <c r="AB56" s="1"/>
      <c r="AC56" s="1"/>
    </row>
    <row r="57" ht="15.75" hidden="1" customHeight="1" outlineLevel="1">
      <c r="A57" s="1"/>
      <c r="B57" s="8"/>
      <c r="C57" s="8" t="b">
        <v>0</v>
      </c>
      <c r="D57" s="8" t="s">
        <v>61</v>
      </c>
      <c r="E57" s="8" t="s">
        <v>59</v>
      </c>
      <c r="F57" s="75" t="s">
        <v>57</v>
      </c>
      <c r="G57" s="76">
        <v>1.0</v>
      </c>
      <c r="H57" s="52" t="str">
        <f>if(C57=TRUE,G57*12000,"")</f>
        <v/>
      </c>
      <c r="I57" s="1"/>
      <c r="J57" s="1"/>
      <c r="K57" s="1"/>
      <c r="L57" s="1"/>
      <c r="M57" s="1"/>
      <c r="N57" s="1"/>
      <c r="O57" s="1"/>
      <c r="P57" s="1"/>
      <c r="Q57" s="1"/>
      <c r="R57" s="1"/>
      <c r="S57" s="1"/>
      <c r="T57" s="1"/>
      <c r="U57" s="1"/>
      <c r="V57" s="1"/>
      <c r="W57" s="1"/>
      <c r="X57" s="1"/>
      <c r="Y57" s="1"/>
      <c r="Z57" s="1"/>
      <c r="AA57" s="1"/>
      <c r="AB57" s="1"/>
      <c r="AC57" s="1"/>
    </row>
    <row r="58" ht="15.75" hidden="1" customHeight="1" outlineLevel="1">
      <c r="A58" s="1"/>
      <c r="B58" s="8"/>
      <c r="C58" s="8" t="b">
        <v>0</v>
      </c>
      <c r="D58" s="8" t="s">
        <v>61</v>
      </c>
      <c r="E58" s="8" t="s">
        <v>60</v>
      </c>
      <c r="F58" s="77" t="str">
        <f>if(C58=TRUE,"Custom Quote Required","")</f>
        <v/>
      </c>
      <c r="G58" s="76"/>
      <c r="H58" s="78" t="str">
        <f>if(C58=TRUE,"Custom Quote Required","")</f>
        <v/>
      </c>
      <c r="I58" s="1"/>
      <c r="J58" s="1"/>
      <c r="K58" s="1"/>
      <c r="L58" s="1"/>
      <c r="M58" s="1"/>
      <c r="N58" s="1"/>
      <c r="O58" s="1"/>
      <c r="P58" s="1"/>
      <c r="Q58" s="1"/>
      <c r="R58" s="1"/>
      <c r="S58" s="1"/>
      <c r="T58" s="1"/>
      <c r="U58" s="1"/>
      <c r="V58" s="1"/>
      <c r="W58" s="1"/>
      <c r="X58" s="1"/>
      <c r="Y58" s="1"/>
      <c r="Z58" s="1"/>
      <c r="AA58" s="1"/>
      <c r="AB58" s="1"/>
      <c r="AC58" s="1"/>
    </row>
    <row r="59" ht="15.75" hidden="1" customHeight="1" outlineLevel="1">
      <c r="A59" s="1"/>
      <c r="B59" s="8"/>
      <c r="C59" s="8" t="b">
        <v>0</v>
      </c>
      <c r="D59" s="8" t="s">
        <v>62</v>
      </c>
      <c r="E59" s="8" t="s">
        <v>56</v>
      </c>
      <c r="F59" s="75" t="s">
        <v>57</v>
      </c>
      <c r="G59" s="76">
        <v>1.0</v>
      </c>
      <c r="H59" s="52" t="str">
        <f>if(C59=TRUE,G59*1000,"")</f>
        <v/>
      </c>
      <c r="I59" s="1"/>
      <c r="J59" s="1"/>
      <c r="K59" s="1"/>
      <c r="L59" s="1"/>
      <c r="M59" s="1"/>
      <c r="N59" s="1"/>
      <c r="O59" s="1"/>
      <c r="P59" s="1"/>
      <c r="Q59" s="1"/>
      <c r="R59" s="1"/>
      <c r="S59" s="1"/>
      <c r="T59" s="1"/>
      <c r="U59" s="1"/>
      <c r="V59" s="1"/>
      <c r="W59" s="1"/>
      <c r="X59" s="1"/>
      <c r="Y59" s="1"/>
      <c r="Z59" s="1"/>
      <c r="AA59" s="1"/>
      <c r="AB59" s="1"/>
      <c r="AC59" s="1"/>
    </row>
    <row r="60" ht="15.75" hidden="1" customHeight="1" outlineLevel="1">
      <c r="A60" s="1"/>
      <c r="B60" s="8"/>
      <c r="C60" s="8" t="b">
        <v>0</v>
      </c>
      <c r="D60" s="8" t="s">
        <v>62</v>
      </c>
      <c r="E60" s="8" t="s">
        <v>58</v>
      </c>
      <c r="F60" s="75" t="s">
        <v>57</v>
      </c>
      <c r="G60" s="76">
        <v>1.0</v>
      </c>
      <c r="H60" s="52" t="str">
        <f>if(C60=TRUE,G60*2500,"")</f>
        <v/>
      </c>
      <c r="I60" s="1"/>
      <c r="J60" s="1"/>
      <c r="K60" s="1"/>
      <c r="L60" s="1"/>
      <c r="M60" s="1"/>
      <c r="N60" s="1"/>
      <c r="O60" s="1"/>
      <c r="P60" s="1"/>
      <c r="Q60" s="1"/>
      <c r="R60" s="1"/>
      <c r="S60" s="1"/>
      <c r="T60" s="1"/>
      <c r="U60" s="1"/>
      <c r="V60" s="1"/>
      <c r="W60" s="1"/>
      <c r="X60" s="1"/>
      <c r="Y60" s="1"/>
      <c r="Z60" s="1"/>
      <c r="AA60" s="1"/>
      <c r="AB60" s="1"/>
      <c r="AC60" s="1"/>
    </row>
    <row r="61" ht="15.75" hidden="1" customHeight="1" outlineLevel="1">
      <c r="A61" s="1"/>
      <c r="B61" s="8"/>
      <c r="C61" s="8" t="b">
        <v>0</v>
      </c>
      <c r="D61" s="8" t="s">
        <v>62</v>
      </c>
      <c r="E61" s="8" t="s">
        <v>59</v>
      </c>
      <c r="F61" s="75" t="s">
        <v>57</v>
      </c>
      <c r="G61" s="76">
        <v>1.0</v>
      </c>
      <c r="H61" s="52" t="str">
        <f>if(C61=TRUE,G61*5000,"")</f>
        <v/>
      </c>
      <c r="I61" s="1"/>
      <c r="J61" s="1"/>
      <c r="K61" s="1"/>
      <c r="L61" s="1"/>
      <c r="M61" s="1"/>
      <c r="N61" s="1"/>
      <c r="O61" s="1"/>
      <c r="P61" s="1"/>
      <c r="Q61" s="1"/>
      <c r="R61" s="1"/>
      <c r="S61" s="1"/>
      <c r="T61" s="1"/>
      <c r="U61" s="1"/>
      <c r="V61" s="1"/>
      <c r="W61" s="1"/>
      <c r="X61" s="1"/>
      <c r="Y61" s="1"/>
      <c r="Z61" s="1"/>
      <c r="AA61" s="1"/>
      <c r="AB61" s="1"/>
      <c r="AC61" s="1"/>
    </row>
    <row r="62" ht="15.75" hidden="1" customHeight="1" outlineLevel="1">
      <c r="A62" s="1"/>
      <c r="B62" s="8"/>
      <c r="C62" s="8" t="b">
        <v>0</v>
      </c>
      <c r="D62" s="8" t="s">
        <v>62</v>
      </c>
      <c r="E62" s="8" t="s">
        <v>60</v>
      </c>
      <c r="F62" s="77" t="str">
        <f>if(C62=TRUE,"Custom Quote Required","")</f>
        <v/>
      </c>
      <c r="G62" s="76"/>
      <c r="H62" s="78" t="str">
        <f>if(C62=TRUE,"Custom Quote Required","")</f>
        <v/>
      </c>
      <c r="I62" s="1"/>
      <c r="J62" s="1"/>
      <c r="K62" s="1"/>
      <c r="L62" s="1"/>
      <c r="M62" s="1"/>
      <c r="N62" s="1"/>
      <c r="O62" s="1"/>
      <c r="P62" s="1"/>
      <c r="Q62" s="1"/>
      <c r="R62" s="1"/>
      <c r="S62" s="1"/>
      <c r="T62" s="1"/>
      <c r="U62" s="1"/>
      <c r="V62" s="1"/>
      <c r="W62" s="1"/>
      <c r="X62" s="1"/>
      <c r="Y62" s="1"/>
      <c r="Z62" s="1"/>
      <c r="AA62" s="1"/>
      <c r="AB62" s="1"/>
      <c r="AC62" s="1"/>
    </row>
    <row r="63" ht="15.75" hidden="1" customHeight="1" outlineLevel="1">
      <c r="A63" s="1"/>
      <c r="B63" s="8"/>
      <c r="C63" s="8" t="b">
        <v>0</v>
      </c>
      <c r="D63" s="8" t="s">
        <v>63</v>
      </c>
      <c r="E63" s="8" t="s">
        <v>56</v>
      </c>
      <c r="F63" s="75" t="str">
        <f>if(C63=TRUE,"Number of Words (estimated)","")</f>
        <v/>
      </c>
      <c r="G63" s="76">
        <v>1000.0</v>
      </c>
      <c r="H63" s="52" t="str">
        <f>if(C63=TRUE,G63*0.14,"")</f>
        <v/>
      </c>
      <c r="I63" s="1"/>
      <c r="J63" s="1"/>
      <c r="K63" s="1"/>
      <c r="L63" s="1"/>
      <c r="M63" s="1"/>
      <c r="N63" s="1"/>
      <c r="O63" s="1"/>
      <c r="P63" s="1"/>
      <c r="Q63" s="1"/>
      <c r="R63" s="1"/>
      <c r="S63" s="1"/>
      <c r="T63" s="1"/>
      <c r="U63" s="1"/>
      <c r="V63" s="1"/>
      <c r="W63" s="1"/>
      <c r="X63" s="1"/>
      <c r="Y63" s="1"/>
      <c r="Z63" s="1"/>
      <c r="AA63" s="1"/>
      <c r="AB63" s="1"/>
      <c r="AC63" s="1"/>
    </row>
    <row r="64" ht="15.75" hidden="1" customHeight="1" outlineLevel="1">
      <c r="A64" s="1"/>
      <c r="B64" s="8"/>
      <c r="C64" s="8" t="b">
        <v>0</v>
      </c>
      <c r="D64" s="8" t="s">
        <v>63</v>
      </c>
      <c r="E64" s="8" t="s">
        <v>58</v>
      </c>
      <c r="F64" s="75" t="str">
        <f t="shared" ref="F64:F65" si="22">IF(C64=TRUE,"Number of Words (estimated)","")</f>
        <v/>
      </c>
      <c r="G64" s="76">
        <v>1000.0</v>
      </c>
      <c r="H64" s="52" t="str">
        <f>if(C64=TRUE,G64*0.53+125*roundup(G64/2500,0),"")</f>
        <v/>
      </c>
      <c r="I64" s="1"/>
      <c r="J64" s="1"/>
      <c r="K64" s="1"/>
      <c r="L64" s="1"/>
      <c r="M64" s="1"/>
      <c r="N64" s="1"/>
      <c r="O64" s="1"/>
      <c r="P64" s="1"/>
      <c r="Q64" s="1"/>
      <c r="R64" s="1"/>
      <c r="S64" s="1"/>
      <c r="T64" s="1"/>
      <c r="U64" s="1"/>
      <c r="V64" s="1"/>
      <c r="W64" s="1"/>
      <c r="X64" s="1"/>
      <c r="Y64" s="1"/>
      <c r="Z64" s="1"/>
      <c r="AA64" s="1"/>
      <c r="AB64" s="1"/>
      <c r="AC64" s="1"/>
    </row>
    <row r="65" ht="15.75" hidden="1" customHeight="1" outlineLevel="1">
      <c r="A65" s="1"/>
      <c r="B65" s="8"/>
      <c r="C65" s="8" t="b">
        <v>0</v>
      </c>
      <c r="D65" s="8" t="s">
        <v>63</v>
      </c>
      <c r="E65" s="8" t="s">
        <v>59</v>
      </c>
      <c r="F65" s="75" t="str">
        <f t="shared" si="22"/>
        <v/>
      </c>
      <c r="G65" s="76">
        <v>1000.0</v>
      </c>
      <c r="H65" s="52" t="str">
        <f>if(C65=TRUE,G65*0.63+150*roundup(G65/2500,0),"")</f>
        <v/>
      </c>
      <c r="I65" s="1"/>
      <c r="J65" s="1"/>
      <c r="K65" s="1"/>
      <c r="L65" s="1"/>
      <c r="M65" s="1"/>
      <c r="N65" s="1"/>
      <c r="O65" s="1"/>
      <c r="P65" s="1"/>
      <c r="Q65" s="1"/>
      <c r="R65" s="1"/>
      <c r="S65" s="1"/>
      <c r="T65" s="1"/>
      <c r="U65" s="1"/>
      <c r="V65" s="1"/>
      <c r="W65" s="1"/>
      <c r="X65" s="1"/>
      <c r="Y65" s="1"/>
      <c r="Z65" s="1"/>
      <c r="AA65" s="1"/>
      <c r="AB65" s="1"/>
      <c r="AC65" s="1"/>
    </row>
    <row r="66" ht="15.75" hidden="1" customHeight="1" outlineLevel="1">
      <c r="A66" s="1"/>
      <c r="B66" s="8"/>
      <c r="C66" s="8" t="b">
        <v>0</v>
      </c>
      <c r="D66" s="8" t="s">
        <v>63</v>
      </c>
      <c r="E66" s="8" t="s">
        <v>60</v>
      </c>
      <c r="F66" s="77" t="str">
        <f>if(C66=TRUE,"Custom Quote Required","")</f>
        <v/>
      </c>
      <c r="G66" s="76"/>
      <c r="H66" s="78" t="str">
        <f>if(C66=TRUE,"Custom Quote Required","")</f>
        <v/>
      </c>
      <c r="I66" s="1"/>
      <c r="J66" s="1"/>
      <c r="K66" s="1"/>
      <c r="L66" s="1"/>
      <c r="M66" s="1"/>
      <c r="N66" s="1"/>
      <c r="O66" s="1"/>
      <c r="P66" s="1"/>
      <c r="Q66" s="1"/>
      <c r="R66" s="1"/>
      <c r="S66" s="1"/>
      <c r="T66" s="1"/>
      <c r="U66" s="1"/>
      <c r="V66" s="1"/>
      <c r="W66" s="1"/>
      <c r="X66" s="1"/>
      <c r="Y66" s="1"/>
      <c r="Z66" s="1"/>
      <c r="AA66" s="1"/>
      <c r="AB66" s="1"/>
      <c r="AC66" s="1"/>
    </row>
    <row r="67" ht="15.75" hidden="1" customHeight="1" outlineLevel="1">
      <c r="A67" s="1"/>
      <c r="B67" s="8"/>
      <c r="C67" s="8" t="b">
        <v>0</v>
      </c>
      <c r="D67" s="8" t="s">
        <v>64</v>
      </c>
      <c r="E67" s="8" t="s">
        <v>56</v>
      </c>
      <c r="F67" s="75" t="str">
        <f>if(C67=TRUE,"Number of Typing Tools (1 is typical)","")</f>
        <v/>
      </c>
      <c r="G67" s="76">
        <v>1.0</v>
      </c>
      <c r="H67" s="52" t="str">
        <f>if(C67=TRUE,G67*3000,"")</f>
        <v/>
      </c>
      <c r="I67" s="1"/>
      <c r="J67" s="1"/>
      <c r="K67" s="1"/>
      <c r="L67" s="1"/>
      <c r="M67" s="1"/>
      <c r="N67" s="1"/>
      <c r="O67" s="1"/>
      <c r="P67" s="1"/>
      <c r="Q67" s="1"/>
      <c r="R67" s="1"/>
      <c r="S67" s="1"/>
      <c r="T67" s="1"/>
      <c r="U67" s="1"/>
      <c r="V67" s="1"/>
      <c r="W67" s="1"/>
      <c r="X67" s="1"/>
      <c r="Y67" s="1"/>
      <c r="Z67" s="1"/>
      <c r="AA67" s="1"/>
      <c r="AB67" s="1"/>
      <c r="AC67" s="1"/>
    </row>
    <row r="68" ht="15.75" hidden="1" customHeight="1" outlineLevel="1">
      <c r="A68" s="1"/>
      <c r="B68" s="8"/>
      <c r="C68" s="8" t="b">
        <v>0</v>
      </c>
      <c r="D68" s="8" t="s">
        <v>64</v>
      </c>
      <c r="E68" s="8" t="s">
        <v>58</v>
      </c>
      <c r="F68" s="75" t="str">
        <f>IF(C68=TRUE,"Number of Typing Tools (1 is typical)","")</f>
        <v/>
      </c>
      <c r="G68" s="76">
        <v>1.0</v>
      </c>
      <c r="H68" s="52" t="str">
        <f>if(C68=TRUE,G68*5000,"")</f>
        <v/>
      </c>
      <c r="I68" s="1"/>
      <c r="J68" s="1"/>
      <c r="K68" s="1"/>
      <c r="L68" s="1"/>
      <c r="M68" s="1"/>
      <c r="N68" s="1"/>
      <c r="O68" s="1"/>
      <c r="P68" s="1"/>
      <c r="Q68" s="1"/>
      <c r="R68" s="1"/>
      <c r="S68" s="1"/>
      <c r="T68" s="1"/>
      <c r="U68" s="1"/>
      <c r="V68" s="1"/>
      <c r="W68" s="1"/>
      <c r="X68" s="1"/>
      <c r="Y68" s="1"/>
      <c r="Z68" s="1"/>
      <c r="AA68" s="1"/>
      <c r="AB68" s="1"/>
      <c r="AC68" s="1"/>
    </row>
    <row r="69" ht="15.75" hidden="1" customHeight="1" outlineLevel="1">
      <c r="A69" s="1"/>
      <c r="B69" s="8"/>
      <c r="C69" s="8" t="b">
        <v>0</v>
      </c>
      <c r="D69" s="8" t="s">
        <v>64</v>
      </c>
      <c r="E69" s="8" t="s">
        <v>60</v>
      </c>
      <c r="F69" s="77" t="str">
        <f>if(C69=TRUE,"Custom Quote Required","")</f>
        <v/>
      </c>
      <c r="G69" s="8"/>
      <c r="H69" s="78" t="str">
        <f>if(C69=TRUE,"Custom Quote Required","")</f>
        <v/>
      </c>
      <c r="I69" s="1"/>
      <c r="J69" s="1"/>
      <c r="K69" s="1"/>
      <c r="L69" s="1"/>
      <c r="M69" s="1"/>
      <c r="N69" s="1"/>
      <c r="O69" s="1"/>
      <c r="P69" s="1"/>
      <c r="Q69" s="1"/>
      <c r="R69" s="1"/>
      <c r="S69" s="1"/>
      <c r="T69" s="1"/>
      <c r="U69" s="1"/>
      <c r="V69" s="1"/>
      <c r="W69" s="1"/>
      <c r="X69" s="1"/>
      <c r="Y69" s="1"/>
      <c r="Z69" s="1"/>
      <c r="AA69" s="1"/>
      <c r="AB69" s="1"/>
      <c r="AC69" s="1"/>
    </row>
    <row r="70" ht="15.75" customHeight="1" collapsed="1">
      <c r="A70" s="79" t="s">
        <v>65</v>
      </c>
      <c r="B70" s="8"/>
      <c r="C70" s="8"/>
      <c r="D70" s="8"/>
      <c r="E70" s="8"/>
      <c r="F70" s="8"/>
      <c r="G70" s="8"/>
      <c r="H70" s="8"/>
      <c r="I70" s="1"/>
      <c r="J70" s="1"/>
      <c r="K70" s="1"/>
      <c r="L70" s="1"/>
      <c r="M70" s="1"/>
      <c r="N70" s="1"/>
      <c r="O70" s="1"/>
      <c r="P70" s="1"/>
      <c r="Q70" s="1"/>
      <c r="R70" s="1"/>
      <c r="S70" s="1"/>
      <c r="T70" s="1"/>
      <c r="U70" s="1"/>
      <c r="V70" s="1"/>
      <c r="W70" s="1"/>
      <c r="X70" s="1"/>
      <c r="Y70" s="1"/>
      <c r="Z70" s="1"/>
      <c r="AA70" s="1"/>
      <c r="AB70" s="1"/>
      <c r="AC70" s="1"/>
    </row>
    <row r="71" ht="15.75" customHeight="1">
      <c r="A71" s="5"/>
      <c r="B71" s="71" t="s">
        <v>15</v>
      </c>
      <c r="C71" s="71"/>
      <c r="D71" s="71"/>
      <c r="E71" s="71"/>
      <c r="F71" s="72"/>
      <c r="G71" s="72" t="s">
        <v>54</v>
      </c>
      <c r="H71" s="73">
        <f>sum(H73:H92)</f>
        <v>0</v>
      </c>
      <c r="I71" s="1"/>
      <c r="J71" s="1"/>
      <c r="K71" s="1"/>
      <c r="L71" s="1"/>
      <c r="M71" s="1"/>
      <c r="N71" s="1"/>
      <c r="O71" s="1"/>
      <c r="P71" s="1"/>
      <c r="Q71" s="1"/>
      <c r="R71" s="1"/>
      <c r="S71" s="1"/>
      <c r="T71" s="1"/>
      <c r="U71" s="1"/>
      <c r="V71" s="1"/>
      <c r="W71" s="1"/>
      <c r="X71" s="1"/>
      <c r="Y71" s="1"/>
      <c r="Z71" s="1"/>
      <c r="AA71" s="1"/>
      <c r="AB71" s="1"/>
      <c r="AC71" s="1"/>
    </row>
    <row r="72" ht="15.75" hidden="1" customHeight="1" outlineLevel="1">
      <c r="A72" s="1"/>
      <c r="B72" s="8"/>
      <c r="C72" s="8" t="b">
        <v>0</v>
      </c>
      <c r="D72" s="8" t="s">
        <v>66</v>
      </c>
      <c r="E72" s="8" t="s">
        <v>56</v>
      </c>
      <c r="F72" s="77" t="str">
        <f>if(C72=TRUE,"Use CPI Calculator Above","")</f>
        <v/>
      </c>
      <c r="G72" s="8"/>
      <c r="H72" s="52" t="str">
        <f>if(C72=TRUE,0,"")</f>
        <v/>
      </c>
      <c r="I72" s="1"/>
      <c r="J72" s="1"/>
      <c r="K72" s="1"/>
      <c r="L72" s="1"/>
      <c r="M72" s="1"/>
      <c r="N72" s="1"/>
      <c r="O72" s="1"/>
      <c r="P72" s="1"/>
      <c r="Q72" s="1"/>
      <c r="R72" s="1"/>
      <c r="S72" s="1"/>
      <c r="T72" s="1"/>
      <c r="U72" s="1"/>
      <c r="V72" s="1"/>
      <c r="W72" s="1"/>
      <c r="X72" s="1"/>
      <c r="Y72" s="1"/>
      <c r="Z72" s="1"/>
      <c r="AA72" s="1"/>
      <c r="AB72" s="1"/>
      <c r="AC72" s="1"/>
    </row>
    <row r="73" ht="15.75" hidden="1" customHeight="1" outlineLevel="1">
      <c r="A73" s="1"/>
      <c r="B73" s="8"/>
      <c r="C73" s="8" t="b">
        <v>0</v>
      </c>
      <c r="D73" s="8" t="s">
        <v>67</v>
      </c>
      <c r="E73" s="8" t="s">
        <v>58</v>
      </c>
      <c r="F73" s="75" t="str">
        <f>if(C73=TRUE,"Note, $1 extra per complete","")</f>
        <v/>
      </c>
      <c r="G73" s="8"/>
      <c r="H73" s="52" t="str">
        <f>if(C73=TRUE,$D$22,"")</f>
        <v/>
      </c>
      <c r="I73" s="1"/>
      <c r="J73" s="1"/>
      <c r="K73" s="1"/>
      <c r="L73" s="1"/>
      <c r="M73" s="1"/>
      <c r="N73" s="1"/>
      <c r="O73" s="1"/>
      <c r="P73" s="1"/>
      <c r="Q73" s="1"/>
      <c r="R73" s="1"/>
      <c r="S73" s="1"/>
      <c r="T73" s="1"/>
      <c r="U73" s="1"/>
      <c r="V73" s="1"/>
      <c r="W73" s="1"/>
      <c r="X73" s="1"/>
      <c r="Y73" s="1"/>
      <c r="Z73" s="1"/>
      <c r="AA73" s="1"/>
      <c r="AB73" s="1"/>
      <c r="AC73" s="1"/>
    </row>
    <row r="74" ht="15.75" hidden="1" customHeight="1" outlineLevel="1">
      <c r="A74" s="1"/>
      <c r="B74" s="8"/>
      <c r="C74" s="8" t="b">
        <v>0</v>
      </c>
      <c r="D74" s="8" t="s">
        <v>67</v>
      </c>
      <c r="E74" s="8" t="s">
        <v>59</v>
      </c>
      <c r="F74" s="75" t="str">
        <f>if(C74=TRUE,"Note, $2 extra per complete","")</f>
        <v/>
      </c>
      <c r="G74" s="8"/>
      <c r="H74" s="52" t="str">
        <f>if(C74=TRUE,2*$D$22,"")</f>
        <v/>
      </c>
      <c r="I74" s="1"/>
      <c r="J74" s="1"/>
      <c r="K74" s="1"/>
      <c r="L74" s="1"/>
      <c r="M74" s="1"/>
      <c r="N74" s="1"/>
      <c r="O74" s="1"/>
      <c r="P74" s="1"/>
      <c r="Q74" s="1"/>
      <c r="R74" s="1"/>
      <c r="S74" s="1"/>
      <c r="T74" s="1"/>
      <c r="U74" s="1"/>
      <c r="V74" s="1"/>
      <c r="W74" s="1"/>
      <c r="X74" s="1"/>
      <c r="Y74" s="1"/>
      <c r="Z74" s="1"/>
      <c r="AA74" s="1"/>
      <c r="AB74" s="1"/>
      <c r="AC74" s="1"/>
    </row>
    <row r="75" ht="15.75" hidden="1" customHeight="1" outlineLevel="1">
      <c r="A75" s="1"/>
      <c r="B75" s="8"/>
      <c r="C75" s="8" t="b">
        <v>0</v>
      </c>
      <c r="D75" s="8" t="s">
        <v>68</v>
      </c>
      <c r="E75" s="8" t="s">
        <v>56</v>
      </c>
      <c r="F75" s="77" t="str">
        <f>if(C75=TRUE,"Ensure CPI entered above is for Prob Sample","")</f>
        <v/>
      </c>
      <c r="G75" s="8"/>
      <c r="H75" s="52" t="str">
        <f>if(C75=TRUE,0,"")</f>
        <v/>
      </c>
      <c r="I75" s="1"/>
      <c r="J75" s="1"/>
      <c r="K75" s="1"/>
      <c r="L75" s="1"/>
      <c r="M75" s="1"/>
      <c r="N75" s="1"/>
      <c r="O75" s="1"/>
      <c r="P75" s="1"/>
      <c r="Q75" s="1"/>
      <c r="R75" s="1"/>
      <c r="S75" s="1"/>
      <c r="T75" s="1"/>
      <c r="U75" s="1"/>
      <c r="V75" s="1"/>
      <c r="W75" s="1"/>
      <c r="X75" s="1"/>
      <c r="Y75" s="1"/>
      <c r="Z75" s="1"/>
      <c r="AA75" s="1"/>
      <c r="AB75" s="1"/>
      <c r="AC75" s="1"/>
    </row>
    <row r="76" ht="15.75" hidden="1" customHeight="1" outlineLevel="1">
      <c r="A76" s="1"/>
      <c r="B76" s="8"/>
      <c r="C76" s="8" t="b">
        <v>0</v>
      </c>
      <c r="D76" s="8" t="s">
        <v>69</v>
      </c>
      <c r="E76" s="8" t="s">
        <v>56</v>
      </c>
      <c r="F76" s="75" t="str">
        <f>if(C76=TRUE,"Number of List Send Services (1 is Typical)","")</f>
        <v/>
      </c>
      <c r="G76" s="76">
        <v>1.0</v>
      </c>
      <c r="H76" s="52" t="str">
        <f>if(C76=TRUE,G76*1500,"")</f>
        <v/>
      </c>
      <c r="I76" s="1"/>
      <c r="J76" s="1"/>
      <c r="K76" s="1"/>
      <c r="L76" s="1"/>
      <c r="M76" s="1"/>
      <c r="N76" s="1"/>
      <c r="O76" s="1"/>
      <c r="P76" s="1"/>
      <c r="Q76" s="1"/>
      <c r="R76" s="1"/>
      <c r="S76" s="1"/>
      <c r="T76" s="1"/>
      <c r="U76" s="1"/>
      <c r="V76" s="1"/>
      <c r="W76" s="1"/>
      <c r="X76" s="1"/>
      <c r="Y76" s="1"/>
      <c r="Z76" s="1"/>
      <c r="AA76" s="1"/>
      <c r="AB76" s="1"/>
      <c r="AC76" s="1"/>
    </row>
    <row r="77" ht="15.75" hidden="1" customHeight="1" outlineLevel="1">
      <c r="A77" s="1"/>
      <c r="B77" s="8"/>
      <c r="C77" s="8" t="b">
        <v>0</v>
      </c>
      <c r="D77" s="8" t="s">
        <v>69</v>
      </c>
      <c r="E77" s="8" t="s">
        <v>58</v>
      </c>
      <c r="F77" s="75" t="str">
        <f t="shared" ref="F77:F78" si="23">IF(C77=TRUE,"Number of List Send Services (1 is Typical)","")</f>
        <v/>
      </c>
      <c r="G77" s="76">
        <v>1.0</v>
      </c>
      <c r="H77" s="52" t="str">
        <f>if(C77=TRUE,G77*3500,"")</f>
        <v/>
      </c>
      <c r="I77" s="1"/>
      <c r="J77" s="1"/>
      <c r="K77" s="1"/>
      <c r="L77" s="1"/>
      <c r="M77" s="1"/>
      <c r="N77" s="1"/>
      <c r="O77" s="1"/>
      <c r="P77" s="1"/>
      <c r="Q77" s="1"/>
      <c r="R77" s="1"/>
      <c r="S77" s="1"/>
      <c r="T77" s="1"/>
      <c r="U77" s="1"/>
      <c r="V77" s="1"/>
      <c r="W77" s="1"/>
      <c r="X77" s="1"/>
      <c r="Y77" s="1"/>
      <c r="Z77" s="1"/>
      <c r="AA77" s="1"/>
      <c r="AB77" s="1"/>
      <c r="AC77" s="1"/>
    </row>
    <row r="78" ht="15.75" hidden="1" customHeight="1" outlineLevel="1">
      <c r="A78" s="1"/>
      <c r="B78" s="8"/>
      <c r="C78" s="8" t="b">
        <v>0</v>
      </c>
      <c r="D78" s="8" t="s">
        <v>69</v>
      </c>
      <c r="E78" s="8" t="s">
        <v>59</v>
      </c>
      <c r="F78" s="75" t="str">
        <f t="shared" si="23"/>
        <v/>
      </c>
      <c r="G78" s="76">
        <v>1.0</v>
      </c>
      <c r="H78" s="52" t="str">
        <f>if(C78=TRUE,G78*7000,"")</f>
        <v/>
      </c>
      <c r="I78" s="1"/>
      <c r="J78" s="1"/>
      <c r="K78" s="1"/>
      <c r="L78" s="1"/>
      <c r="M78" s="1"/>
      <c r="N78" s="1"/>
      <c r="O78" s="1"/>
      <c r="P78" s="1"/>
      <c r="Q78" s="1"/>
      <c r="R78" s="1"/>
      <c r="S78" s="1"/>
      <c r="T78" s="1"/>
      <c r="U78" s="1"/>
      <c r="V78" s="1"/>
      <c r="W78" s="1"/>
      <c r="X78" s="1"/>
      <c r="Y78" s="1"/>
      <c r="Z78" s="1"/>
      <c r="AA78" s="1"/>
      <c r="AB78" s="1"/>
      <c r="AC78" s="1"/>
    </row>
    <row r="79" ht="15.75" hidden="1" customHeight="1" outlineLevel="1">
      <c r="A79" s="1"/>
      <c r="B79" s="8"/>
      <c r="C79" s="8" t="b">
        <v>0</v>
      </c>
      <c r="D79" s="8" t="s">
        <v>69</v>
      </c>
      <c r="E79" s="8" t="s">
        <v>60</v>
      </c>
      <c r="F79" s="77" t="str">
        <f>if(C79=TRUE,"Custom Quote Required","")</f>
        <v/>
      </c>
      <c r="G79" s="8"/>
      <c r="H79" s="78" t="str">
        <f>if(C79=TRUE,"Custom Quote Required","")</f>
        <v/>
      </c>
      <c r="I79" s="1"/>
      <c r="J79" s="1"/>
      <c r="K79" s="1"/>
      <c r="L79" s="1"/>
      <c r="M79" s="1"/>
      <c r="N79" s="1"/>
      <c r="O79" s="1"/>
      <c r="P79" s="1"/>
      <c r="Q79" s="1"/>
      <c r="R79" s="1"/>
      <c r="S79" s="1"/>
      <c r="T79" s="1"/>
      <c r="U79" s="1"/>
      <c r="V79" s="1"/>
      <c r="W79" s="1"/>
      <c r="X79" s="1"/>
      <c r="Y79" s="1"/>
      <c r="Z79" s="1"/>
      <c r="AA79" s="1"/>
      <c r="AB79" s="1"/>
      <c r="AC79" s="1"/>
    </row>
    <row r="80" ht="15.75" hidden="1" customHeight="1" outlineLevel="1">
      <c r="A80" s="1"/>
      <c r="B80" s="8"/>
      <c r="C80" s="8" t="b">
        <v>0</v>
      </c>
      <c r="D80" s="8" t="s">
        <v>70</v>
      </c>
      <c r="E80" s="8" t="s">
        <v>56</v>
      </c>
      <c r="F80" s="75" t="str">
        <f>if(C80=TRUE,"Number of List Send Services (1 is Typical)","")</f>
        <v/>
      </c>
      <c r="G80" s="76">
        <v>1.0</v>
      </c>
      <c r="H80" s="52" t="str">
        <f>if(C80=TRUE,G80*2500,"")</f>
        <v/>
      </c>
      <c r="I80" s="74" t="str">
        <f t="shared" ref="I80:I82" si="24">if(C80=TRUE,"Must ensure they have an unbranded Brand ID set-up","")</f>
        <v/>
      </c>
      <c r="J80" s="1"/>
      <c r="K80" s="1"/>
      <c r="L80" s="1"/>
      <c r="M80" s="1"/>
      <c r="N80" s="1"/>
      <c r="O80" s="1"/>
      <c r="P80" s="1"/>
      <c r="Q80" s="1"/>
      <c r="R80" s="1"/>
      <c r="S80" s="1"/>
      <c r="T80" s="1"/>
      <c r="U80" s="1"/>
      <c r="V80" s="1"/>
      <c r="W80" s="1"/>
      <c r="X80" s="1"/>
      <c r="Y80" s="1"/>
      <c r="Z80" s="1"/>
      <c r="AA80" s="1"/>
      <c r="AB80" s="1"/>
      <c r="AC80" s="1"/>
    </row>
    <row r="81" ht="15.75" hidden="1" customHeight="1" outlineLevel="1">
      <c r="A81" s="1"/>
      <c r="B81" s="8"/>
      <c r="C81" s="8" t="b">
        <v>0</v>
      </c>
      <c r="D81" s="8" t="s">
        <v>70</v>
      </c>
      <c r="E81" s="8" t="s">
        <v>58</v>
      </c>
      <c r="F81" s="75" t="str">
        <f t="shared" ref="F81:F82" si="25">IF(C81=TRUE,"Number of List Send Services (1 is Typical)","")</f>
        <v/>
      </c>
      <c r="G81" s="76">
        <v>1.0</v>
      </c>
      <c r="H81" s="52" t="str">
        <f>if(C81=TRUE,G81*4000,"")</f>
        <v/>
      </c>
      <c r="I81" s="74" t="str">
        <f t="shared" si="24"/>
        <v/>
      </c>
      <c r="J81" s="1"/>
      <c r="K81" s="1"/>
      <c r="L81" s="1"/>
      <c r="M81" s="1"/>
      <c r="N81" s="1"/>
      <c r="O81" s="1"/>
      <c r="P81" s="1"/>
      <c r="Q81" s="1"/>
      <c r="R81" s="1"/>
      <c r="S81" s="1"/>
      <c r="T81" s="1"/>
      <c r="U81" s="1"/>
      <c r="V81" s="1"/>
      <c r="W81" s="1"/>
      <c r="X81" s="1"/>
      <c r="Y81" s="1"/>
      <c r="Z81" s="1"/>
      <c r="AA81" s="1"/>
      <c r="AB81" s="1"/>
      <c r="AC81" s="1"/>
    </row>
    <row r="82" ht="15.75" hidden="1" customHeight="1" outlineLevel="1">
      <c r="A82" s="1"/>
      <c r="B82" s="8"/>
      <c r="C82" s="8" t="b">
        <v>0</v>
      </c>
      <c r="D82" s="8" t="s">
        <v>70</v>
      </c>
      <c r="E82" s="8" t="s">
        <v>59</v>
      </c>
      <c r="F82" s="75" t="str">
        <f t="shared" si="25"/>
        <v/>
      </c>
      <c r="G82" s="76">
        <v>1.0</v>
      </c>
      <c r="H82" s="52" t="str">
        <f>if(C82=TRUE,G82*7500,"")</f>
        <v/>
      </c>
      <c r="I82" s="74" t="str">
        <f t="shared" si="24"/>
        <v/>
      </c>
      <c r="J82" s="1"/>
      <c r="K82" s="1"/>
      <c r="L82" s="1"/>
      <c r="M82" s="1"/>
      <c r="N82" s="1"/>
      <c r="O82" s="1"/>
      <c r="P82" s="1"/>
      <c r="Q82" s="1"/>
      <c r="R82" s="1"/>
      <c r="S82" s="1"/>
      <c r="T82" s="1"/>
      <c r="U82" s="1"/>
      <c r="V82" s="1"/>
      <c r="W82" s="1"/>
      <c r="X82" s="1"/>
      <c r="Y82" s="1"/>
      <c r="Z82" s="1"/>
      <c r="AA82" s="1"/>
      <c r="AB82" s="1"/>
      <c r="AC82" s="1"/>
    </row>
    <row r="83" ht="15.75" hidden="1" customHeight="1" outlineLevel="1">
      <c r="A83" s="1"/>
      <c r="B83" s="8"/>
      <c r="C83" s="8" t="b">
        <v>0</v>
      </c>
      <c r="D83" s="8" t="s">
        <v>70</v>
      </c>
      <c r="E83" s="8" t="s">
        <v>60</v>
      </c>
      <c r="F83" s="77" t="str">
        <f>if(C83=TRUE,"Custom Quote Required","")</f>
        <v/>
      </c>
      <c r="G83" s="8"/>
      <c r="H83" s="78" t="str">
        <f>if(C83=TRUE,"Custom Quote Required","")</f>
        <v/>
      </c>
      <c r="I83" s="1"/>
      <c r="J83" s="1"/>
      <c r="K83" s="1"/>
      <c r="L83" s="1"/>
      <c r="M83" s="1"/>
      <c r="N83" s="1"/>
      <c r="O83" s="1"/>
      <c r="P83" s="1"/>
      <c r="Q83" s="1"/>
      <c r="R83" s="1"/>
      <c r="S83" s="1"/>
      <c r="T83" s="1"/>
      <c r="U83" s="1"/>
      <c r="V83" s="1"/>
      <c r="W83" s="1"/>
      <c r="X83" s="1"/>
      <c r="Y83" s="1"/>
      <c r="Z83" s="1"/>
      <c r="AA83" s="1"/>
      <c r="AB83" s="1"/>
      <c r="AC83" s="1"/>
    </row>
    <row r="84" ht="15.75" hidden="1" customHeight="1" outlineLevel="1">
      <c r="A84" s="1"/>
      <c r="B84" s="8"/>
      <c r="C84" s="8" t="b">
        <v>0</v>
      </c>
      <c r="D84" s="8" t="s">
        <v>71</v>
      </c>
      <c r="E84" s="8" t="s">
        <v>56</v>
      </c>
      <c r="F84" s="75" t="str">
        <f>if(C84=TRUE,"Incentive Amount","")</f>
        <v/>
      </c>
      <c r="G84" s="80">
        <v>15.0</v>
      </c>
      <c r="H84" s="52" t="b">
        <f>if(C84=TRUE,Max(1500,G84*D22*0.15))</f>
        <v>0</v>
      </c>
      <c r="I84" s="74" t="str">
        <f>if(C84=TRUE,"Must be selected with Incentives","")</f>
        <v/>
      </c>
      <c r="J84" s="1"/>
      <c r="K84" s="1"/>
      <c r="L84" s="1"/>
      <c r="M84" s="1"/>
      <c r="N84" s="1"/>
      <c r="O84" s="1"/>
      <c r="P84" s="1"/>
      <c r="Q84" s="1"/>
      <c r="R84" s="1"/>
      <c r="S84" s="1"/>
      <c r="T84" s="1"/>
      <c r="U84" s="1"/>
      <c r="V84" s="1"/>
      <c r="W84" s="1"/>
      <c r="X84" s="1"/>
      <c r="Y84" s="1"/>
      <c r="Z84" s="1"/>
      <c r="AA84" s="1"/>
      <c r="AB84" s="1"/>
      <c r="AC84" s="1"/>
    </row>
    <row r="85" ht="15.75" hidden="1" customHeight="1" outlineLevel="1">
      <c r="A85" s="1"/>
      <c r="B85" s="8"/>
      <c r="C85" s="8" t="b">
        <v>0</v>
      </c>
      <c r="D85" s="8" t="s">
        <v>72</v>
      </c>
      <c r="E85" s="8" t="s">
        <v>56</v>
      </c>
      <c r="F85" s="75" t="s">
        <v>73</v>
      </c>
      <c r="G85" s="76">
        <v>500.0</v>
      </c>
      <c r="H85" s="52" t="b">
        <f>if(C85=TRUE,G84*G85)</f>
        <v>0</v>
      </c>
      <c r="I85" s="74" t="str">
        <f>if(C85=TRUE,"Must be selected with Incentive Management","")</f>
        <v/>
      </c>
      <c r="J85" s="1"/>
      <c r="K85" s="1"/>
      <c r="L85" s="1"/>
      <c r="M85" s="1"/>
      <c r="N85" s="1"/>
      <c r="O85" s="1"/>
      <c r="P85" s="1"/>
      <c r="Q85" s="1"/>
      <c r="R85" s="1"/>
      <c r="S85" s="1"/>
      <c r="T85" s="1"/>
      <c r="U85" s="1"/>
      <c r="V85" s="1"/>
      <c r="W85" s="1"/>
      <c r="X85" s="1"/>
      <c r="Y85" s="1"/>
      <c r="Z85" s="1"/>
      <c r="AA85" s="1"/>
      <c r="AB85" s="1"/>
      <c r="AC85" s="1"/>
    </row>
    <row r="86" ht="15.75" hidden="1" customHeight="1" outlineLevel="1">
      <c r="A86" s="1"/>
      <c r="B86" s="8"/>
      <c r="C86" s="8" t="b">
        <v>0</v>
      </c>
      <c r="D86" s="8" t="s">
        <v>74</v>
      </c>
      <c r="E86" s="8" t="s">
        <v>56</v>
      </c>
      <c r="F86" s="75" t="str">
        <f>if(C86=TRUE,"Number of Integrations (1 is Typical)","")</f>
        <v/>
      </c>
      <c r="G86" s="76">
        <v>1.0</v>
      </c>
      <c r="H86" s="52" t="str">
        <f>if(C86=TRUE,G86*1500,"")</f>
        <v/>
      </c>
      <c r="I86" s="1"/>
      <c r="J86" s="1"/>
      <c r="K86" s="1"/>
      <c r="L86" s="1"/>
      <c r="M86" s="1"/>
      <c r="N86" s="1"/>
      <c r="O86" s="1"/>
      <c r="P86" s="1"/>
      <c r="Q86" s="1"/>
      <c r="R86" s="1"/>
      <c r="S86" s="1"/>
      <c r="T86" s="1"/>
      <c r="U86" s="1"/>
      <c r="V86" s="1"/>
      <c r="W86" s="1"/>
      <c r="X86" s="1"/>
      <c r="Y86" s="1"/>
      <c r="Z86" s="1"/>
      <c r="AA86" s="1"/>
      <c r="AB86" s="1"/>
      <c r="AC86" s="1"/>
    </row>
    <row r="87" ht="15.75" hidden="1" customHeight="1" outlineLevel="1">
      <c r="A87" s="1"/>
      <c r="B87" s="8"/>
      <c r="C87" s="8" t="b">
        <v>0</v>
      </c>
      <c r="D87" s="8" t="s">
        <v>74</v>
      </c>
      <c r="E87" s="8" t="s">
        <v>58</v>
      </c>
      <c r="F87" s="75" t="str">
        <f t="shared" ref="F87:F88" si="26">IF(C87=TRUE,"Number of Integrations (1 is Typical)","")</f>
        <v/>
      </c>
      <c r="G87" s="76">
        <v>1.0</v>
      </c>
      <c r="H87" s="52" t="str">
        <f>if(C87=TRUE,G87*3000,"")</f>
        <v/>
      </c>
      <c r="I87" s="1"/>
      <c r="J87" s="1"/>
      <c r="K87" s="1"/>
      <c r="L87" s="1"/>
      <c r="M87" s="1"/>
      <c r="N87" s="1"/>
      <c r="O87" s="1"/>
      <c r="P87" s="1"/>
      <c r="Q87" s="1"/>
      <c r="R87" s="1"/>
      <c r="S87" s="1"/>
      <c r="T87" s="1"/>
      <c r="U87" s="1"/>
      <c r="V87" s="1"/>
      <c r="W87" s="1"/>
      <c r="X87" s="1"/>
      <c r="Y87" s="1"/>
      <c r="Z87" s="1"/>
      <c r="AA87" s="1"/>
      <c r="AB87" s="1"/>
      <c r="AC87" s="1"/>
    </row>
    <row r="88" ht="15.75" hidden="1" customHeight="1" outlineLevel="1">
      <c r="A88" s="1"/>
      <c r="B88" s="8"/>
      <c r="C88" s="8" t="b">
        <v>0</v>
      </c>
      <c r="D88" s="8" t="s">
        <v>74</v>
      </c>
      <c r="E88" s="8" t="s">
        <v>59</v>
      </c>
      <c r="F88" s="75" t="str">
        <f t="shared" si="26"/>
        <v/>
      </c>
      <c r="G88" s="76">
        <v>1.0</v>
      </c>
      <c r="H88" s="52" t="str">
        <f>if(C88=TRUE,G88*5000,"")</f>
        <v/>
      </c>
      <c r="I88" s="1"/>
      <c r="J88" s="1"/>
      <c r="K88" s="1"/>
      <c r="L88" s="1"/>
      <c r="M88" s="1"/>
      <c r="N88" s="1"/>
      <c r="O88" s="1"/>
      <c r="P88" s="1"/>
      <c r="Q88" s="1"/>
      <c r="R88" s="1"/>
      <c r="S88" s="1"/>
      <c r="T88" s="1"/>
      <c r="U88" s="1"/>
      <c r="V88" s="1"/>
      <c r="W88" s="1"/>
      <c r="X88" s="1"/>
      <c r="Y88" s="1"/>
      <c r="Z88" s="1"/>
      <c r="AA88" s="1"/>
      <c r="AB88" s="1"/>
      <c r="AC88" s="1"/>
    </row>
    <row r="89" ht="15.75" hidden="1" customHeight="1" outlineLevel="1">
      <c r="A89" s="1"/>
      <c r="B89" s="8"/>
      <c r="C89" s="8" t="b">
        <v>0</v>
      </c>
      <c r="D89" s="8" t="s">
        <v>75</v>
      </c>
      <c r="E89" s="8" t="s">
        <v>56</v>
      </c>
      <c r="F89" s="75" t="str">
        <f>if(C89=TRUE,"Number of Append Iterations (1 if only at end)","")</f>
        <v/>
      </c>
      <c r="G89" s="76">
        <v>1.0</v>
      </c>
      <c r="H89" s="52" t="str">
        <f>if(C89=TRUE,G89*1000,"")</f>
        <v/>
      </c>
      <c r="I89" s="74" t="str">
        <f>if(C89=TRUE,"Must use Lucid or Dynata","")</f>
        <v/>
      </c>
      <c r="J89" s="1"/>
      <c r="K89" s="1"/>
      <c r="L89" s="1"/>
      <c r="M89" s="1"/>
      <c r="N89" s="1"/>
      <c r="O89" s="1"/>
      <c r="P89" s="1"/>
      <c r="Q89" s="1"/>
      <c r="R89" s="1"/>
      <c r="S89" s="1"/>
      <c r="T89" s="1"/>
      <c r="U89" s="1"/>
      <c r="V89" s="1"/>
      <c r="W89" s="1"/>
      <c r="X89" s="1"/>
      <c r="Y89" s="1"/>
      <c r="Z89" s="1"/>
      <c r="AA89" s="1"/>
      <c r="AB89" s="1"/>
      <c r="AC89" s="1"/>
    </row>
    <row r="90" ht="15.75" hidden="1" customHeight="1" outlineLevel="1">
      <c r="A90" s="1"/>
      <c r="B90" s="8"/>
      <c r="C90" s="8" t="b">
        <v>0</v>
      </c>
      <c r="D90" s="8" t="s">
        <v>75</v>
      </c>
      <c r="E90" s="8" t="s">
        <v>58</v>
      </c>
      <c r="F90" s="75" t="str">
        <f>IF(C90=TRUE,"Number of Append Iterations (1 if only at end)","")</f>
        <v/>
      </c>
      <c r="G90" s="76">
        <v>1.0</v>
      </c>
      <c r="H90" s="52" t="str">
        <f>if(C90=TRUE,G90*2500,"")</f>
        <v/>
      </c>
      <c r="I90" s="74" t="str">
        <f>IF(C90=TRUE,"Must use Lucid or Dynata","")</f>
        <v/>
      </c>
      <c r="J90" s="1"/>
      <c r="K90" s="1"/>
      <c r="L90" s="1"/>
      <c r="M90" s="1"/>
      <c r="N90" s="1"/>
      <c r="O90" s="1"/>
      <c r="P90" s="1"/>
      <c r="Q90" s="1"/>
      <c r="R90" s="1"/>
      <c r="S90" s="1"/>
      <c r="T90" s="1"/>
      <c r="U90" s="1"/>
      <c r="V90" s="1"/>
      <c r="W90" s="1"/>
      <c r="X90" s="1"/>
      <c r="Y90" s="1"/>
      <c r="Z90" s="1"/>
      <c r="AA90" s="1"/>
      <c r="AB90" s="1"/>
      <c r="AC90" s="1"/>
    </row>
    <row r="91" ht="15.75" hidden="1" customHeight="1" outlineLevel="1">
      <c r="A91" s="1"/>
      <c r="B91" s="8"/>
      <c r="C91" s="8" t="b">
        <v>0</v>
      </c>
      <c r="D91" s="8" t="s">
        <v>75</v>
      </c>
      <c r="E91" s="8" t="s">
        <v>59</v>
      </c>
      <c r="F91" s="75" t="str">
        <f>if(C91=TRUE,"Number of Variable Sets Appending","")</f>
        <v/>
      </c>
      <c r="G91" s="76">
        <v>1.0</v>
      </c>
      <c r="H91" s="52" t="str">
        <f>if(C91=TRUE,G91*3750,"")</f>
        <v/>
      </c>
      <c r="I91" s="74" t="str">
        <f>if(C91=TRUE,"Must use Dynata","")</f>
        <v/>
      </c>
      <c r="J91" s="1"/>
      <c r="K91" s="1"/>
      <c r="L91" s="1"/>
      <c r="M91" s="1"/>
      <c r="N91" s="1"/>
      <c r="O91" s="1"/>
      <c r="P91" s="1"/>
      <c r="Q91" s="1"/>
      <c r="R91" s="1"/>
      <c r="S91" s="1"/>
      <c r="T91" s="1"/>
      <c r="U91" s="1"/>
      <c r="V91" s="1"/>
      <c r="W91" s="1"/>
      <c r="X91" s="1"/>
      <c r="Y91" s="1"/>
      <c r="Z91" s="1"/>
      <c r="AA91" s="1"/>
      <c r="AB91" s="1"/>
      <c r="AC91" s="1"/>
    </row>
    <row r="92" ht="15.75" hidden="1" customHeight="1" outlineLevel="1">
      <c r="A92" s="1"/>
      <c r="B92" s="8"/>
      <c r="C92" s="8" t="b">
        <v>0</v>
      </c>
      <c r="D92" s="8" t="s">
        <v>75</v>
      </c>
      <c r="E92" s="8" t="s">
        <v>60</v>
      </c>
      <c r="F92" s="75" t="str">
        <f>IF(C92=TRUE,"Number of Variable Sets Appending","")</f>
        <v/>
      </c>
      <c r="G92" s="76">
        <v>1.0</v>
      </c>
      <c r="H92" s="52" t="str">
        <f>if(C92=TRUE,G92*6500,"")</f>
        <v/>
      </c>
      <c r="I92" s="74" t="str">
        <f>IF(C92=TRUE,"Must use Dynata","")</f>
        <v/>
      </c>
      <c r="J92" s="1"/>
      <c r="K92" s="1"/>
      <c r="L92" s="1"/>
      <c r="M92" s="1"/>
      <c r="N92" s="1"/>
      <c r="O92" s="1"/>
      <c r="P92" s="1"/>
      <c r="Q92" s="1"/>
      <c r="R92" s="1"/>
      <c r="S92" s="1"/>
      <c r="T92" s="1"/>
      <c r="U92" s="1"/>
      <c r="V92" s="1"/>
      <c r="W92" s="1"/>
      <c r="X92" s="1"/>
      <c r="Y92" s="1"/>
      <c r="Z92" s="1"/>
      <c r="AA92" s="1"/>
      <c r="AB92" s="1"/>
      <c r="AC92" s="1"/>
    </row>
    <row r="93" ht="15.75" customHeight="1" collapsed="1">
      <c r="A93" s="79" t="s">
        <v>76</v>
      </c>
      <c r="B93" s="8"/>
      <c r="C93" s="8"/>
      <c r="D93" s="8"/>
      <c r="E93" s="8"/>
      <c r="F93" s="81"/>
      <c r="G93" s="8"/>
      <c r="H93" s="8"/>
      <c r="I93" s="1"/>
      <c r="J93" s="1"/>
      <c r="K93" s="1"/>
      <c r="L93" s="1"/>
      <c r="M93" s="1"/>
      <c r="N93" s="1"/>
      <c r="O93" s="1"/>
      <c r="P93" s="1"/>
      <c r="Q93" s="1"/>
      <c r="R93" s="1"/>
      <c r="S93" s="1"/>
      <c r="T93" s="1"/>
      <c r="U93" s="1"/>
      <c r="V93" s="1"/>
      <c r="W93" s="1"/>
      <c r="X93" s="1"/>
      <c r="Y93" s="1"/>
      <c r="Z93" s="1"/>
      <c r="AA93" s="1"/>
      <c r="AB93" s="1"/>
      <c r="AC93" s="1"/>
    </row>
    <row r="94" ht="15.75" customHeight="1">
      <c r="A94" s="1"/>
      <c r="B94" s="71" t="s">
        <v>16</v>
      </c>
      <c r="C94" s="71"/>
      <c r="D94" s="71"/>
      <c r="E94" s="71"/>
      <c r="F94" s="72"/>
      <c r="G94" s="72" t="s">
        <v>54</v>
      </c>
      <c r="H94" s="73">
        <f>sum(H95:H109)</f>
        <v>0</v>
      </c>
      <c r="I94" s="1"/>
      <c r="J94" s="1"/>
      <c r="K94" s="1"/>
      <c r="L94" s="1"/>
      <c r="M94" s="1"/>
      <c r="N94" s="1"/>
      <c r="O94" s="1"/>
      <c r="P94" s="1"/>
      <c r="Q94" s="1"/>
      <c r="R94" s="1"/>
      <c r="S94" s="1"/>
      <c r="T94" s="1"/>
      <c r="U94" s="1"/>
      <c r="V94" s="1"/>
      <c r="W94" s="1"/>
      <c r="X94" s="1"/>
      <c r="Y94" s="1"/>
      <c r="Z94" s="1"/>
      <c r="AA94" s="1"/>
      <c r="AB94" s="1"/>
      <c r="AC94" s="1"/>
    </row>
    <row r="95" ht="15.75" hidden="1" customHeight="1" outlineLevel="1">
      <c r="A95" s="1"/>
      <c r="B95" s="8"/>
      <c r="C95" s="8" t="b">
        <v>0</v>
      </c>
      <c r="D95" s="8" t="s">
        <v>77</v>
      </c>
      <c r="E95" s="8" t="s">
        <v>56</v>
      </c>
      <c r="F95" s="75" t="str">
        <f>if(C95=TRUE,"Number of Weight Variables Needed","")</f>
        <v/>
      </c>
      <c r="G95" s="76">
        <v>1.0</v>
      </c>
      <c r="H95" s="52" t="str">
        <f>if(C95=TRUE,G95*6500,"")</f>
        <v/>
      </c>
      <c r="I95" s="1" t="s">
        <v>78</v>
      </c>
      <c r="J95" s="1"/>
      <c r="K95" s="1"/>
      <c r="L95" s="1"/>
      <c r="M95" s="1"/>
      <c r="N95" s="1"/>
      <c r="O95" s="1"/>
      <c r="P95" s="1"/>
      <c r="Q95" s="1"/>
      <c r="R95" s="1"/>
      <c r="S95" s="1"/>
      <c r="T95" s="1"/>
      <c r="U95" s="1"/>
      <c r="V95" s="1"/>
      <c r="W95" s="1"/>
      <c r="X95" s="1"/>
      <c r="Y95" s="1"/>
      <c r="Z95" s="1"/>
      <c r="AA95" s="1"/>
      <c r="AB95" s="1"/>
      <c r="AC95" s="1"/>
    </row>
    <row r="96" ht="15.75" hidden="1" customHeight="1" outlineLevel="1">
      <c r="A96" s="1"/>
      <c r="B96" s="8"/>
      <c r="C96" s="8" t="b">
        <v>0</v>
      </c>
      <c r="D96" s="8" t="s">
        <v>77</v>
      </c>
      <c r="E96" s="8" t="s">
        <v>58</v>
      </c>
      <c r="F96" s="75" t="str">
        <f t="shared" ref="F96:F98" si="27">IF(C96=TRUE,"Number of Weight Variables Needed","")</f>
        <v/>
      </c>
      <c r="G96" s="76">
        <v>1.0</v>
      </c>
      <c r="H96" s="52" t="str">
        <f t="shared" ref="H96:H98" si="28">IF(C96=TRUE,G96*6500,"")</f>
        <v/>
      </c>
      <c r="I96" s="1" t="s">
        <v>78</v>
      </c>
      <c r="J96" s="1"/>
      <c r="K96" s="1"/>
      <c r="L96" s="1"/>
      <c r="M96" s="1"/>
      <c r="N96" s="1"/>
      <c r="O96" s="1"/>
      <c r="P96" s="1"/>
      <c r="Q96" s="1"/>
      <c r="R96" s="1"/>
      <c r="S96" s="1"/>
      <c r="T96" s="1"/>
      <c r="U96" s="1"/>
      <c r="V96" s="1"/>
      <c r="W96" s="1"/>
      <c r="X96" s="1"/>
      <c r="Y96" s="1"/>
      <c r="Z96" s="1"/>
      <c r="AA96" s="1"/>
      <c r="AB96" s="1"/>
      <c r="AC96" s="1"/>
    </row>
    <row r="97" ht="15.75" hidden="1" customHeight="1" outlineLevel="1">
      <c r="A97" s="1"/>
      <c r="B97" s="8"/>
      <c r="C97" s="8" t="b">
        <v>0</v>
      </c>
      <c r="D97" s="8" t="s">
        <v>77</v>
      </c>
      <c r="E97" s="8" t="s">
        <v>59</v>
      </c>
      <c r="F97" s="75" t="str">
        <f t="shared" si="27"/>
        <v/>
      </c>
      <c r="G97" s="76">
        <v>1.0</v>
      </c>
      <c r="H97" s="52" t="str">
        <f t="shared" si="28"/>
        <v/>
      </c>
      <c r="I97" s="1" t="s">
        <v>78</v>
      </c>
      <c r="J97" s="1"/>
      <c r="K97" s="1"/>
      <c r="L97" s="1"/>
      <c r="M97" s="1"/>
      <c r="N97" s="1"/>
      <c r="O97" s="1"/>
      <c r="P97" s="1"/>
      <c r="Q97" s="1"/>
      <c r="R97" s="1"/>
      <c r="S97" s="1"/>
      <c r="T97" s="1"/>
      <c r="U97" s="1"/>
      <c r="V97" s="1"/>
      <c r="W97" s="1"/>
      <c r="X97" s="1"/>
      <c r="Y97" s="1"/>
      <c r="Z97" s="1"/>
      <c r="AA97" s="1"/>
      <c r="AB97" s="1"/>
      <c r="AC97" s="1"/>
    </row>
    <row r="98" ht="15.75" hidden="1" customHeight="1" outlineLevel="1">
      <c r="A98" s="1"/>
      <c r="B98" s="8"/>
      <c r="C98" s="8" t="b">
        <v>0</v>
      </c>
      <c r="D98" s="8" t="s">
        <v>77</v>
      </c>
      <c r="E98" s="8" t="s">
        <v>60</v>
      </c>
      <c r="F98" s="75" t="str">
        <f t="shared" si="27"/>
        <v/>
      </c>
      <c r="G98" s="76">
        <v>1.0</v>
      </c>
      <c r="H98" s="52" t="str">
        <f t="shared" si="28"/>
        <v/>
      </c>
      <c r="I98" s="1" t="s">
        <v>78</v>
      </c>
      <c r="J98" s="1"/>
      <c r="K98" s="1"/>
      <c r="L98" s="1"/>
      <c r="M98" s="1"/>
      <c r="N98" s="1"/>
      <c r="O98" s="1"/>
      <c r="P98" s="1"/>
      <c r="Q98" s="1"/>
      <c r="R98" s="1"/>
      <c r="S98" s="1"/>
      <c r="T98" s="1"/>
      <c r="U98" s="1"/>
      <c r="V98" s="1"/>
      <c r="W98" s="1"/>
      <c r="X98" s="1"/>
      <c r="Y98" s="1"/>
      <c r="Z98" s="1"/>
      <c r="AA98" s="1"/>
      <c r="AB98" s="1"/>
      <c r="AC98" s="1"/>
    </row>
    <row r="99" ht="15.75" hidden="1" customHeight="1" outlineLevel="1">
      <c r="A99" s="1"/>
      <c r="B99" s="8"/>
      <c r="C99" s="8" t="b">
        <v>0</v>
      </c>
      <c r="D99" s="8" t="s">
        <v>79</v>
      </c>
      <c r="E99" s="8" t="s">
        <v>56</v>
      </c>
      <c r="F99" s="75"/>
      <c r="G99" s="8"/>
      <c r="H99" s="52" t="str">
        <f>if(C99=TRUE,1400,"")</f>
        <v/>
      </c>
      <c r="I99" s="1"/>
      <c r="J99" s="1"/>
      <c r="K99" s="1"/>
      <c r="L99" s="1"/>
      <c r="M99" s="1"/>
      <c r="N99" s="1"/>
      <c r="O99" s="1"/>
      <c r="P99" s="1"/>
      <c r="Q99" s="1"/>
      <c r="R99" s="1"/>
      <c r="S99" s="1"/>
      <c r="T99" s="1"/>
      <c r="U99" s="1"/>
      <c r="V99" s="1"/>
      <c r="W99" s="1"/>
      <c r="X99" s="1"/>
      <c r="Y99" s="1"/>
      <c r="Z99" s="1"/>
      <c r="AA99" s="1"/>
      <c r="AB99" s="1"/>
      <c r="AC99" s="1"/>
    </row>
    <row r="100" ht="15.75" hidden="1" customHeight="1" outlineLevel="1">
      <c r="A100" s="1"/>
      <c r="B100" s="8"/>
      <c r="C100" s="8" t="b">
        <v>0</v>
      </c>
      <c r="D100" s="8" t="s">
        <v>79</v>
      </c>
      <c r="E100" s="8" t="s">
        <v>58</v>
      </c>
      <c r="F100" s="75"/>
      <c r="G100" s="8"/>
      <c r="H100" s="52" t="str">
        <f>if(C100=TRUE,2400,"")</f>
        <v/>
      </c>
      <c r="I100" s="1"/>
      <c r="J100" s="1"/>
      <c r="K100" s="1"/>
      <c r="L100" s="1"/>
      <c r="M100" s="1"/>
      <c r="N100" s="1"/>
      <c r="O100" s="1"/>
      <c r="P100" s="1"/>
      <c r="Q100" s="1"/>
      <c r="R100" s="1"/>
      <c r="S100" s="1"/>
      <c r="T100" s="1"/>
      <c r="U100" s="1"/>
      <c r="V100" s="1"/>
      <c r="W100" s="1"/>
      <c r="X100" s="1"/>
      <c r="Y100" s="1"/>
      <c r="Z100" s="1"/>
      <c r="AA100" s="1"/>
      <c r="AB100" s="1"/>
      <c r="AC100" s="1"/>
    </row>
    <row r="101" ht="15.75" hidden="1" customHeight="1" outlineLevel="1">
      <c r="A101" s="1"/>
      <c r="B101" s="8"/>
      <c r="C101" s="8" t="b">
        <v>0</v>
      </c>
      <c r="D101" s="8" t="s">
        <v>79</v>
      </c>
      <c r="E101" s="8" t="s">
        <v>59</v>
      </c>
      <c r="F101" s="75"/>
      <c r="G101" s="8"/>
      <c r="H101" s="52" t="str">
        <f>if(C101=TRUE,3000,"")</f>
        <v/>
      </c>
      <c r="I101" s="1"/>
      <c r="J101" s="1"/>
      <c r="K101" s="1"/>
      <c r="L101" s="1"/>
      <c r="M101" s="1"/>
      <c r="N101" s="1"/>
      <c r="O101" s="1"/>
      <c r="P101" s="1"/>
      <c r="Q101" s="1"/>
      <c r="R101" s="1"/>
      <c r="S101" s="1"/>
      <c r="T101" s="1"/>
      <c r="U101" s="1"/>
      <c r="V101" s="1"/>
      <c r="W101" s="1"/>
      <c r="X101" s="1"/>
      <c r="Y101" s="1"/>
      <c r="Z101" s="1"/>
      <c r="AA101" s="1"/>
      <c r="AB101" s="1"/>
      <c r="AC101" s="1"/>
    </row>
    <row r="102" ht="15.75" hidden="1" customHeight="1" outlineLevel="1">
      <c r="A102" s="1"/>
      <c r="B102" s="8"/>
      <c r="C102" s="8" t="b">
        <v>0</v>
      </c>
      <c r="D102" s="8" t="s">
        <v>79</v>
      </c>
      <c r="E102" s="8" t="s">
        <v>60</v>
      </c>
      <c r="F102" s="77" t="str">
        <f>if(C102=TRUE,"Custom Quote Required","")</f>
        <v/>
      </c>
      <c r="G102" s="8"/>
      <c r="H102" s="78" t="str">
        <f>if(C102=TRUE,"Custom Quote Required","")</f>
        <v/>
      </c>
      <c r="I102" s="1"/>
      <c r="J102" s="1"/>
      <c r="K102" s="1"/>
      <c r="L102" s="1"/>
      <c r="M102" s="1"/>
      <c r="N102" s="1"/>
      <c r="O102" s="1"/>
      <c r="P102" s="1"/>
      <c r="Q102" s="1"/>
      <c r="R102" s="1"/>
      <c r="S102" s="1"/>
      <c r="T102" s="1"/>
      <c r="U102" s="1"/>
      <c r="V102" s="1"/>
      <c r="W102" s="1"/>
      <c r="X102" s="1"/>
      <c r="Y102" s="1"/>
      <c r="Z102" s="1"/>
      <c r="AA102" s="1"/>
      <c r="AB102" s="1"/>
      <c r="AC102" s="1"/>
    </row>
    <row r="103" ht="15.75" hidden="1" customHeight="1" outlineLevel="1">
      <c r="A103" s="1"/>
      <c r="B103" s="8"/>
      <c r="C103" s="8" t="b">
        <v>0</v>
      </c>
      <c r="D103" s="8" t="s">
        <v>80</v>
      </c>
      <c r="E103" s="8" t="s">
        <v>56</v>
      </c>
      <c r="F103" s="75"/>
      <c r="G103" s="8"/>
      <c r="H103" s="52" t="str">
        <f>if(C103=TRUE,10000,"")</f>
        <v/>
      </c>
      <c r="I103" s="1"/>
      <c r="J103" s="1"/>
      <c r="K103" s="1"/>
      <c r="L103" s="1"/>
      <c r="M103" s="1"/>
      <c r="N103" s="1"/>
      <c r="O103" s="1"/>
      <c r="P103" s="1"/>
      <c r="Q103" s="1"/>
      <c r="R103" s="1"/>
      <c r="S103" s="1"/>
      <c r="T103" s="1"/>
      <c r="U103" s="1"/>
      <c r="V103" s="1"/>
      <c r="W103" s="1"/>
      <c r="X103" s="1"/>
      <c r="Y103" s="1"/>
      <c r="Z103" s="1"/>
      <c r="AA103" s="1"/>
      <c r="AB103" s="1"/>
      <c r="AC103" s="1"/>
    </row>
    <row r="104" ht="15.75" hidden="1" customHeight="1" outlineLevel="1">
      <c r="A104" s="1"/>
      <c r="B104" s="8"/>
      <c r="C104" s="8" t="b">
        <v>0</v>
      </c>
      <c r="D104" s="8" t="s">
        <v>80</v>
      </c>
      <c r="E104" s="8" t="s">
        <v>58</v>
      </c>
      <c r="F104" s="75"/>
      <c r="G104" s="8"/>
      <c r="H104" s="52" t="str">
        <f>if(C104=TRUE,15000,"")</f>
        <v/>
      </c>
      <c r="I104" s="1"/>
      <c r="J104" s="1"/>
      <c r="K104" s="1"/>
      <c r="L104" s="1"/>
      <c r="M104" s="1"/>
      <c r="N104" s="1"/>
      <c r="O104" s="1"/>
      <c r="P104" s="1"/>
      <c r="Q104" s="1"/>
      <c r="R104" s="1"/>
      <c r="S104" s="1"/>
      <c r="T104" s="1"/>
      <c r="U104" s="1"/>
      <c r="V104" s="1"/>
      <c r="W104" s="1"/>
      <c r="X104" s="1"/>
      <c r="Y104" s="1"/>
      <c r="Z104" s="1"/>
      <c r="AA104" s="1"/>
      <c r="AB104" s="1"/>
      <c r="AC104" s="1"/>
    </row>
    <row r="105" ht="15.75" hidden="1" customHeight="1" outlineLevel="1">
      <c r="A105" s="1"/>
      <c r="B105" s="8"/>
      <c r="C105" s="8" t="b">
        <v>0</v>
      </c>
      <c r="D105" s="8" t="s">
        <v>80</v>
      </c>
      <c r="E105" s="8" t="s">
        <v>59</v>
      </c>
      <c r="F105" s="75"/>
      <c r="G105" s="8"/>
      <c r="H105" s="52" t="str">
        <f>if(C105=TRUE,20000,"")</f>
        <v/>
      </c>
      <c r="I105" s="1"/>
      <c r="J105" s="1"/>
      <c r="K105" s="1"/>
      <c r="L105" s="1"/>
      <c r="M105" s="1"/>
      <c r="N105" s="1"/>
      <c r="O105" s="1"/>
      <c r="P105" s="1"/>
      <c r="Q105" s="1"/>
      <c r="R105" s="1"/>
      <c r="S105" s="1"/>
      <c r="T105" s="1"/>
      <c r="U105" s="1"/>
      <c r="V105" s="1"/>
      <c r="W105" s="1"/>
      <c r="X105" s="1"/>
      <c r="Y105" s="1"/>
      <c r="Z105" s="1"/>
      <c r="AA105" s="1"/>
      <c r="AB105" s="1"/>
      <c r="AC105" s="1"/>
    </row>
    <row r="106" ht="15.75" hidden="1" customHeight="1" outlineLevel="1">
      <c r="A106" s="1"/>
      <c r="B106" s="8"/>
      <c r="C106" s="8" t="b">
        <v>0</v>
      </c>
      <c r="D106" s="8" t="s">
        <v>80</v>
      </c>
      <c r="E106" s="8" t="s">
        <v>60</v>
      </c>
      <c r="F106" s="77" t="str">
        <f>if(C106=TRUE,"Custom Quote Required","")</f>
        <v/>
      </c>
      <c r="G106" s="8"/>
      <c r="H106" s="78" t="str">
        <f>if(C106=TRUE,"Custom Quote Required","")</f>
        <v/>
      </c>
      <c r="I106" s="1"/>
      <c r="J106" s="1"/>
      <c r="K106" s="1"/>
      <c r="L106" s="1"/>
      <c r="M106" s="1"/>
      <c r="N106" s="1"/>
      <c r="O106" s="1"/>
      <c r="P106" s="1"/>
      <c r="Q106" s="1"/>
      <c r="R106" s="1"/>
      <c r="S106" s="1"/>
      <c r="T106" s="1"/>
      <c r="U106" s="1"/>
      <c r="V106" s="1"/>
      <c r="W106" s="1"/>
      <c r="X106" s="1"/>
      <c r="Y106" s="1"/>
      <c r="Z106" s="1"/>
      <c r="AA106" s="1"/>
      <c r="AB106" s="1"/>
      <c r="AC106" s="1"/>
    </row>
    <row r="107" ht="15.75" hidden="1" customHeight="1" outlineLevel="1">
      <c r="A107" s="1"/>
      <c r="B107" s="8"/>
      <c r="C107" s="8" t="b">
        <v>0</v>
      </c>
      <c r="D107" s="8" t="s">
        <v>81</v>
      </c>
      <c r="E107" s="8" t="s">
        <v>56</v>
      </c>
      <c r="F107" s="75"/>
      <c r="G107" s="8"/>
      <c r="H107" s="52" t="str">
        <f>if(C107=TRUE,5000,"")</f>
        <v/>
      </c>
      <c r="I107" s="1"/>
      <c r="J107" s="1"/>
      <c r="K107" s="1"/>
      <c r="L107" s="1"/>
      <c r="M107" s="1"/>
      <c r="N107" s="1"/>
      <c r="O107" s="1"/>
      <c r="P107" s="1"/>
      <c r="Q107" s="1"/>
      <c r="R107" s="1"/>
      <c r="S107" s="1"/>
      <c r="T107" s="1"/>
      <c r="U107" s="1"/>
      <c r="V107" s="1"/>
      <c r="W107" s="1"/>
      <c r="X107" s="1"/>
      <c r="Y107" s="1"/>
      <c r="Z107" s="1"/>
      <c r="AA107" s="1"/>
      <c r="AB107" s="1"/>
      <c r="AC107" s="1"/>
    </row>
    <row r="108" ht="15.75" hidden="1" customHeight="1" outlineLevel="1">
      <c r="A108" s="1"/>
      <c r="B108" s="8"/>
      <c r="C108" s="8" t="b">
        <v>0</v>
      </c>
      <c r="D108" s="8" t="s">
        <v>81</v>
      </c>
      <c r="E108" s="8" t="s">
        <v>58</v>
      </c>
      <c r="F108" s="75"/>
      <c r="G108" s="8"/>
      <c r="H108" s="52" t="str">
        <f>if(C108=TRUE,10000,"")</f>
        <v/>
      </c>
      <c r="I108" s="1"/>
      <c r="J108" s="1"/>
      <c r="K108" s="1"/>
      <c r="L108" s="1"/>
      <c r="M108" s="1"/>
      <c r="N108" s="1"/>
      <c r="O108" s="1"/>
      <c r="P108" s="1"/>
      <c r="Q108" s="1"/>
      <c r="R108" s="1"/>
      <c r="S108" s="1"/>
      <c r="T108" s="1"/>
      <c r="U108" s="1"/>
      <c r="V108" s="1"/>
      <c r="W108" s="1"/>
      <c r="X108" s="1"/>
      <c r="Y108" s="1"/>
      <c r="Z108" s="1"/>
      <c r="AA108" s="1"/>
      <c r="AB108" s="1"/>
      <c r="AC108" s="1"/>
    </row>
    <row r="109" ht="15.75" hidden="1" customHeight="1" outlineLevel="1">
      <c r="A109" s="1"/>
      <c r="B109" s="8"/>
      <c r="C109" s="8" t="b">
        <v>0</v>
      </c>
      <c r="D109" s="8" t="s">
        <v>81</v>
      </c>
      <c r="E109" s="8" t="s">
        <v>59</v>
      </c>
      <c r="F109" s="75"/>
      <c r="G109" s="8"/>
      <c r="H109" s="52" t="str">
        <f>if(C109=TRUE,20000,"")</f>
        <v/>
      </c>
      <c r="I109" s="1"/>
      <c r="J109" s="1"/>
      <c r="K109" s="1"/>
      <c r="L109" s="1"/>
      <c r="M109" s="1"/>
      <c r="N109" s="1"/>
      <c r="O109" s="1"/>
      <c r="P109" s="1"/>
      <c r="Q109" s="1"/>
      <c r="R109" s="1"/>
      <c r="S109" s="1"/>
      <c r="T109" s="1"/>
      <c r="U109" s="1"/>
      <c r="V109" s="1"/>
      <c r="W109" s="1"/>
      <c r="X109" s="1"/>
      <c r="Y109" s="1"/>
      <c r="Z109" s="1"/>
      <c r="AA109" s="1"/>
      <c r="AB109" s="1"/>
      <c r="AC109" s="1"/>
    </row>
    <row r="110" ht="15.75" hidden="1" customHeight="1" outlineLevel="1">
      <c r="A110" s="1"/>
      <c r="B110" s="8"/>
      <c r="C110" s="8" t="b">
        <v>0</v>
      </c>
      <c r="D110" s="8" t="s">
        <v>81</v>
      </c>
      <c r="E110" s="8" t="s">
        <v>60</v>
      </c>
      <c r="F110" s="77" t="str">
        <f>if(C110=TRUE,"Custom Quote Required","")</f>
        <v/>
      </c>
      <c r="G110" s="8"/>
      <c r="H110" s="78" t="str">
        <f>if(C110=TRUE,"Custom Quote Required","")</f>
        <v/>
      </c>
      <c r="I110" s="1"/>
      <c r="J110" s="1"/>
      <c r="K110" s="1"/>
      <c r="L110" s="1"/>
      <c r="M110" s="1"/>
      <c r="N110" s="1"/>
      <c r="O110" s="1"/>
      <c r="P110" s="1"/>
      <c r="Q110" s="1"/>
      <c r="R110" s="1"/>
      <c r="S110" s="1"/>
      <c r="T110" s="1"/>
      <c r="U110" s="1"/>
      <c r="V110" s="1"/>
      <c r="W110" s="1"/>
      <c r="X110" s="1"/>
      <c r="Y110" s="1"/>
      <c r="Z110" s="1"/>
      <c r="AA110" s="1"/>
      <c r="AB110" s="1"/>
      <c r="AC110" s="1"/>
    </row>
    <row r="111" ht="15.75" hidden="1" customHeight="1" outlineLevel="1">
      <c r="A111" s="1"/>
      <c r="B111" s="8"/>
      <c r="C111" s="8" t="b">
        <v>0</v>
      </c>
      <c r="D111" s="8" t="s">
        <v>82</v>
      </c>
      <c r="E111" s="8" t="s">
        <v>56</v>
      </c>
      <c r="F111" s="75" t="str">
        <f>if(C111=TRUE,"Number of Responses Needing Coding (estimated)","")</f>
        <v/>
      </c>
      <c r="G111" s="76">
        <v>10000.0</v>
      </c>
      <c r="H111" s="52" t="str">
        <f>if(C111=TRUE,G111*0.63,"")</f>
        <v/>
      </c>
      <c r="I111" s="1"/>
      <c r="J111" s="1"/>
      <c r="K111" s="1"/>
      <c r="L111" s="1"/>
      <c r="M111" s="1"/>
      <c r="N111" s="1"/>
      <c r="O111" s="1"/>
      <c r="P111" s="1"/>
      <c r="Q111" s="1"/>
      <c r="R111" s="1"/>
      <c r="S111" s="1"/>
      <c r="T111" s="1"/>
      <c r="U111" s="1"/>
      <c r="V111" s="1"/>
      <c r="W111" s="1"/>
      <c r="X111" s="1"/>
      <c r="Y111" s="1"/>
      <c r="Z111" s="1"/>
      <c r="AA111" s="1"/>
      <c r="AB111" s="1"/>
      <c r="AC111" s="1"/>
    </row>
    <row r="112" ht="15.75" hidden="1" customHeight="1" outlineLevel="1">
      <c r="A112" s="1"/>
      <c r="B112" s="8"/>
      <c r="C112" s="8" t="b">
        <v>0</v>
      </c>
      <c r="D112" s="8" t="s">
        <v>82</v>
      </c>
      <c r="E112" s="8" t="s">
        <v>58</v>
      </c>
      <c r="F112" s="75" t="str">
        <f t="shared" ref="F112:F113" si="29">IF(C112=TRUE,"Number of Responses Needing Coding (estimated)","")</f>
        <v/>
      </c>
      <c r="G112" s="76">
        <v>10000.0</v>
      </c>
      <c r="H112" s="52" t="str">
        <f>if(C112=TRUE,G112*0.68,"")</f>
        <v/>
      </c>
      <c r="I112" s="1"/>
      <c r="J112" s="1"/>
      <c r="K112" s="1"/>
      <c r="L112" s="1"/>
      <c r="M112" s="1"/>
      <c r="N112" s="1"/>
      <c r="O112" s="1"/>
      <c r="P112" s="1"/>
      <c r="Q112" s="1"/>
      <c r="R112" s="1"/>
      <c r="S112" s="1"/>
      <c r="T112" s="1"/>
      <c r="U112" s="1"/>
      <c r="V112" s="1"/>
      <c r="W112" s="1"/>
      <c r="X112" s="1"/>
      <c r="Y112" s="1"/>
      <c r="Z112" s="1"/>
      <c r="AA112" s="1"/>
      <c r="AB112" s="1"/>
      <c r="AC112" s="1"/>
    </row>
    <row r="113" ht="15.75" hidden="1" customHeight="1" outlineLevel="1">
      <c r="A113" s="1"/>
      <c r="B113" s="8"/>
      <c r="C113" s="8" t="b">
        <v>0</v>
      </c>
      <c r="D113" s="8" t="s">
        <v>82</v>
      </c>
      <c r="E113" s="8" t="s">
        <v>59</v>
      </c>
      <c r="F113" s="75" t="str">
        <f t="shared" si="29"/>
        <v/>
      </c>
      <c r="G113" s="76">
        <v>10000.0</v>
      </c>
      <c r="H113" s="52" t="str">
        <f>if(C113=TRUE,G113*1.05,"")</f>
        <v/>
      </c>
      <c r="I113" s="1"/>
      <c r="J113" s="1"/>
      <c r="K113" s="1"/>
      <c r="L113" s="1"/>
      <c r="M113" s="1"/>
      <c r="N113" s="1"/>
      <c r="O113" s="1"/>
      <c r="P113" s="1"/>
      <c r="Q113" s="1"/>
      <c r="R113" s="1"/>
      <c r="S113" s="1"/>
      <c r="T113" s="1"/>
      <c r="U113" s="1"/>
      <c r="V113" s="1"/>
      <c r="W113" s="1"/>
      <c r="X113" s="1"/>
      <c r="Y113" s="1"/>
      <c r="Z113" s="1"/>
      <c r="AA113" s="1"/>
      <c r="AB113" s="1"/>
      <c r="AC113" s="1"/>
    </row>
    <row r="114" ht="15.75" hidden="1" customHeight="1" outlineLevel="1">
      <c r="A114" s="1"/>
      <c r="B114" s="8"/>
      <c r="C114" s="8" t="b">
        <v>0</v>
      </c>
      <c r="D114" s="8" t="s">
        <v>82</v>
      </c>
      <c r="E114" s="8" t="s">
        <v>60</v>
      </c>
      <c r="F114" s="77" t="str">
        <f>if(C114=TRUE,"Custom Quote Required","")</f>
        <v/>
      </c>
      <c r="G114" s="8"/>
      <c r="H114" s="78" t="str">
        <f>if(C114=TRUE,"Custom Quote Required","")</f>
        <v/>
      </c>
      <c r="I114" s="1"/>
      <c r="J114" s="1"/>
      <c r="K114" s="1"/>
      <c r="L114" s="1"/>
      <c r="M114" s="1"/>
      <c r="N114" s="1"/>
      <c r="O114" s="1"/>
      <c r="P114" s="1"/>
      <c r="Q114" s="1"/>
      <c r="R114" s="1"/>
      <c r="S114" s="1"/>
      <c r="T114" s="1"/>
      <c r="U114" s="1"/>
      <c r="V114" s="1"/>
      <c r="W114" s="1"/>
      <c r="X114" s="1"/>
      <c r="Y114" s="1"/>
      <c r="Z114" s="1"/>
      <c r="AA114" s="1"/>
      <c r="AB114" s="1"/>
      <c r="AC114" s="1"/>
    </row>
    <row r="115" ht="15.75" hidden="1" customHeight="1" outlineLevel="1">
      <c r="A115" s="1"/>
      <c r="B115" s="8"/>
      <c r="C115" s="8" t="b">
        <v>0</v>
      </c>
      <c r="D115" s="8" t="s">
        <v>83</v>
      </c>
      <c r="E115" s="8" t="s">
        <v>56</v>
      </c>
      <c r="F115" s="75" t="str">
        <f>if(C115=TRUE,"Number of Words (estimated)","")</f>
        <v/>
      </c>
      <c r="G115" s="76">
        <v>1000.0</v>
      </c>
      <c r="H115" s="52" t="str">
        <f>if(C115=TRUE,G115*0.61,"")</f>
        <v/>
      </c>
      <c r="I115" s="1"/>
      <c r="J115" s="1"/>
      <c r="K115" s="1"/>
      <c r="L115" s="1"/>
      <c r="M115" s="1"/>
      <c r="N115" s="1"/>
      <c r="O115" s="1"/>
      <c r="P115" s="1"/>
      <c r="Q115" s="1"/>
      <c r="R115" s="1"/>
      <c r="S115" s="1"/>
      <c r="T115" s="1"/>
      <c r="U115" s="1"/>
      <c r="V115" s="1"/>
      <c r="W115" s="1"/>
      <c r="X115" s="1"/>
      <c r="Y115" s="1"/>
      <c r="Z115" s="1"/>
      <c r="AA115" s="1"/>
      <c r="AB115" s="1"/>
      <c r="AC115" s="1"/>
    </row>
    <row r="116" ht="15.75" hidden="1" customHeight="1" outlineLevel="1">
      <c r="A116" s="1"/>
      <c r="B116" s="8"/>
      <c r="C116" s="8" t="b">
        <v>0</v>
      </c>
      <c r="D116" s="8" t="s">
        <v>83</v>
      </c>
      <c r="E116" s="8" t="s">
        <v>58</v>
      </c>
      <c r="F116" s="75" t="str">
        <f>IF(C116=TRUE,"Number of Words (estimated)","")</f>
        <v/>
      </c>
      <c r="G116" s="76">
        <v>1000.0</v>
      </c>
      <c r="H116" s="52" t="str">
        <f>if(C116=TRUE,G116*0.71,"")</f>
        <v/>
      </c>
      <c r="I116" s="1"/>
      <c r="J116" s="1"/>
      <c r="K116" s="1"/>
      <c r="L116" s="1"/>
      <c r="M116" s="1"/>
      <c r="N116" s="1"/>
      <c r="O116" s="1"/>
      <c r="P116" s="1"/>
      <c r="Q116" s="1"/>
      <c r="R116" s="1"/>
      <c r="S116" s="1"/>
      <c r="T116" s="1"/>
      <c r="U116" s="1"/>
      <c r="V116" s="1"/>
      <c r="W116" s="1"/>
      <c r="X116" s="1"/>
      <c r="Y116" s="1"/>
      <c r="Z116" s="1"/>
      <c r="AA116" s="1"/>
      <c r="AB116" s="1"/>
      <c r="AC116" s="1"/>
    </row>
    <row r="117" ht="15.75" hidden="1" customHeight="1" outlineLevel="1">
      <c r="A117" s="1"/>
      <c r="B117" s="8"/>
      <c r="C117" s="8" t="b">
        <v>0</v>
      </c>
      <c r="D117" s="8" t="s">
        <v>84</v>
      </c>
      <c r="E117" s="8" t="s">
        <v>56</v>
      </c>
      <c r="F117" s="75"/>
      <c r="G117" s="8"/>
      <c r="H117" s="52" t="str">
        <f>if(C117=TRUE,500,"")</f>
        <v/>
      </c>
      <c r="I117" s="1"/>
      <c r="J117" s="1"/>
      <c r="K117" s="1"/>
      <c r="L117" s="1"/>
      <c r="M117" s="1"/>
      <c r="N117" s="1"/>
      <c r="O117" s="1"/>
      <c r="P117" s="1"/>
      <c r="Q117" s="1"/>
      <c r="R117" s="1"/>
      <c r="S117" s="1"/>
      <c r="T117" s="1"/>
      <c r="U117" s="1"/>
      <c r="V117" s="1"/>
      <c r="W117" s="1"/>
      <c r="X117" s="1"/>
      <c r="Y117" s="1"/>
      <c r="Z117" s="1"/>
      <c r="AA117" s="1"/>
      <c r="AB117" s="1"/>
      <c r="AC117" s="1"/>
    </row>
    <row r="118" ht="15.75" hidden="1" customHeight="1" outlineLevel="1">
      <c r="A118" s="1"/>
      <c r="B118" s="8"/>
      <c r="C118" s="8" t="b">
        <v>0</v>
      </c>
      <c r="D118" s="8" t="s">
        <v>84</v>
      </c>
      <c r="E118" s="8" t="s">
        <v>58</v>
      </c>
      <c r="F118" s="75" t="str">
        <f>if(C118=TRUE,"Note, $125 more than standard scrub","")</f>
        <v/>
      </c>
      <c r="G118" s="8"/>
      <c r="H118" s="52" t="str">
        <f>if(C118=TRUE,625,"")</f>
        <v/>
      </c>
      <c r="I118" s="1"/>
      <c r="J118" s="1"/>
      <c r="K118" s="1"/>
      <c r="L118" s="1"/>
      <c r="M118" s="1"/>
      <c r="N118" s="1"/>
      <c r="O118" s="1"/>
      <c r="P118" s="1"/>
      <c r="Q118" s="1"/>
      <c r="R118" s="1"/>
      <c r="S118" s="1"/>
      <c r="T118" s="1"/>
      <c r="U118" s="1"/>
      <c r="V118" s="1"/>
      <c r="W118" s="1"/>
      <c r="X118" s="1"/>
      <c r="Y118" s="1"/>
      <c r="Z118" s="1"/>
      <c r="AA118" s="1"/>
      <c r="AB118" s="1"/>
      <c r="AC118" s="1"/>
    </row>
    <row r="119" ht="15.75" hidden="1" customHeight="1" outlineLevel="1">
      <c r="A119" s="1"/>
      <c r="B119" s="8"/>
      <c r="C119" s="8" t="b">
        <v>0</v>
      </c>
      <c r="D119" s="8" t="s">
        <v>84</v>
      </c>
      <c r="E119" s="8" t="s">
        <v>59</v>
      </c>
      <c r="F119" s="75" t="str">
        <f>if(C119=TRUE,"Note, $250 more than standard scrub","")</f>
        <v/>
      </c>
      <c r="G119" s="8"/>
      <c r="H119" s="52" t="str">
        <f>if(C119=TRUE,750,"")</f>
        <v/>
      </c>
      <c r="I119" s="1"/>
      <c r="J119" s="1"/>
      <c r="K119" s="1"/>
      <c r="L119" s="1"/>
      <c r="M119" s="1"/>
      <c r="N119" s="1"/>
      <c r="O119" s="1"/>
      <c r="P119" s="1"/>
      <c r="Q119" s="1"/>
      <c r="R119" s="1"/>
      <c r="S119" s="1"/>
      <c r="T119" s="1"/>
      <c r="U119" s="1"/>
      <c r="V119" s="1"/>
      <c r="W119" s="1"/>
      <c r="X119" s="1"/>
      <c r="Y119" s="1"/>
      <c r="Z119" s="1"/>
      <c r="AA119" s="1"/>
      <c r="AB119" s="1"/>
      <c r="AC119" s="1"/>
    </row>
    <row r="120" ht="15.75" hidden="1" customHeight="1" outlineLevel="1">
      <c r="A120" s="1"/>
      <c r="B120" s="8"/>
      <c r="C120" s="8" t="b">
        <v>0</v>
      </c>
      <c r="D120" s="8" t="s">
        <v>84</v>
      </c>
      <c r="E120" s="8" t="s">
        <v>60</v>
      </c>
      <c r="F120" s="77" t="str">
        <f>if(C120=TRUE,"Custom Quote Required","")</f>
        <v/>
      </c>
      <c r="G120" s="8"/>
      <c r="H120" s="78" t="str">
        <f>if(C120=TRUE,"Custom Quote Required","")</f>
        <v/>
      </c>
      <c r="I120" s="1"/>
      <c r="J120" s="1"/>
      <c r="K120" s="1"/>
      <c r="L120" s="1"/>
      <c r="M120" s="1"/>
      <c r="N120" s="1"/>
      <c r="O120" s="1"/>
      <c r="P120" s="1"/>
      <c r="Q120" s="1"/>
      <c r="R120" s="1"/>
      <c r="S120" s="1"/>
      <c r="T120" s="1"/>
      <c r="U120" s="1"/>
      <c r="V120" s="1"/>
      <c r="W120" s="1"/>
      <c r="X120" s="1"/>
      <c r="Y120" s="1"/>
      <c r="Z120" s="1"/>
      <c r="AA120" s="1"/>
      <c r="AB120" s="1"/>
      <c r="AC120" s="1"/>
    </row>
    <row r="121" ht="15.75" hidden="1" customHeight="1" outlineLevel="1">
      <c r="A121" s="1"/>
      <c r="B121" s="8"/>
      <c r="C121" s="8" t="b">
        <v>0</v>
      </c>
      <c r="D121" s="8" t="s">
        <v>85</v>
      </c>
      <c r="E121" s="8" t="s">
        <v>56</v>
      </c>
      <c r="F121" s="77" t="str">
        <f>IF(C121=TRUE,"Custom Quote Required","")</f>
        <v/>
      </c>
      <c r="G121" s="8"/>
      <c r="H121" s="78" t="str">
        <f>IF(C121=TRUE,"Custom Quote Required","")</f>
        <v/>
      </c>
      <c r="I121" s="1"/>
      <c r="J121" s="1"/>
      <c r="K121" s="1"/>
      <c r="L121" s="1"/>
      <c r="M121" s="1"/>
      <c r="N121" s="1"/>
      <c r="O121" s="1"/>
      <c r="P121" s="1"/>
      <c r="Q121" s="1"/>
      <c r="R121" s="1"/>
      <c r="S121" s="1"/>
      <c r="T121" s="1"/>
      <c r="U121" s="1"/>
      <c r="V121" s="1"/>
      <c r="W121" s="1"/>
      <c r="X121" s="1"/>
      <c r="Y121" s="1"/>
      <c r="Z121" s="1"/>
      <c r="AA121" s="1"/>
      <c r="AB121" s="1"/>
      <c r="AC121" s="1"/>
    </row>
    <row r="122" ht="15.75" customHeight="1" collapsed="1">
      <c r="A122" s="79" t="s">
        <v>86</v>
      </c>
      <c r="B122" s="8"/>
      <c r="C122" s="8"/>
      <c r="D122" s="8"/>
      <c r="E122" s="8"/>
      <c r="F122" s="9"/>
      <c r="G122" s="8"/>
      <c r="H122" s="8"/>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71" t="s">
        <v>87</v>
      </c>
      <c r="C123" s="71"/>
      <c r="D123" s="71"/>
      <c r="E123" s="71"/>
      <c r="F123" s="71"/>
      <c r="G123" s="72" t="s">
        <v>54</v>
      </c>
      <c r="H123" s="73">
        <f>sum(H124:H139)</f>
        <v>0</v>
      </c>
      <c r="I123" s="1"/>
      <c r="J123" s="1"/>
      <c r="K123" s="1"/>
      <c r="L123" s="1"/>
      <c r="M123" s="1"/>
      <c r="N123" s="1"/>
      <c r="O123" s="1"/>
      <c r="P123" s="1"/>
      <c r="Q123" s="1"/>
      <c r="R123" s="1"/>
      <c r="S123" s="1"/>
      <c r="T123" s="1"/>
      <c r="U123" s="1"/>
      <c r="V123" s="1"/>
      <c r="W123" s="1"/>
      <c r="X123" s="1"/>
      <c r="Y123" s="1"/>
      <c r="Z123" s="1"/>
      <c r="AA123" s="1"/>
      <c r="AB123" s="1"/>
      <c r="AC123" s="1"/>
    </row>
    <row r="124" ht="15.75" hidden="1" customHeight="1" outlineLevel="1">
      <c r="A124" s="1"/>
      <c r="B124" s="8"/>
      <c r="C124" s="8" t="b">
        <v>0</v>
      </c>
      <c r="D124" s="8" t="s">
        <v>88</v>
      </c>
      <c r="E124" s="8" t="s">
        <v>56</v>
      </c>
      <c r="F124" s="75" t="str">
        <f t="shared" ref="F124:F126" si="30">if(C124=TRUE,"# of Analyses (1 is Typical)","")</f>
        <v/>
      </c>
      <c r="G124" s="76">
        <v>1.0</v>
      </c>
      <c r="H124" s="52" t="str">
        <f>if(C124=TRUE,G124*8000,"")</f>
        <v/>
      </c>
      <c r="I124" s="1"/>
      <c r="J124" s="1"/>
      <c r="K124" s="1"/>
      <c r="L124" s="1"/>
      <c r="M124" s="1"/>
      <c r="N124" s="1"/>
      <c r="O124" s="1"/>
      <c r="P124" s="1"/>
      <c r="Q124" s="1"/>
      <c r="R124" s="1"/>
      <c r="S124" s="1"/>
      <c r="T124" s="1"/>
      <c r="U124" s="1"/>
      <c r="V124" s="1"/>
      <c r="W124" s="1"/>
      <c r="X124" s="1"/>
      <c r="Y124" s="1"/>
      <c r="Z124" s="1"/>
      <c r="AA124" s="1"/>
      <c r="AB124" s="1"/>
      <c r="AC124" s="1"/>
    </row>
    <row r="125" ht="15.75" hidden="1" customHeight="1" outlineLevel="1">
      <c r="A125" s="1"/>
      <c r="B125" s="8"/>
      <c r="C125" s="8" t="b">
        <v>0</v>
      </c>
      <c r="D125" s="8" t="s">
        <v>88</v>
      </c>
      <c r="E125" s="8" t="s">
        <v>58</v>
      </c>
      <c r="F125" s="75" t="str">
        <f t="shared" si="30"/>
        <v/>
      </c>
      <c r="G125" s="76">
        <v>1.0</v>
      </c>
      <c r="H125" s="52" t="str">
        <f>if(C125=TRUE,G125*11000,"")</f>
        <v/>
      </c>
      <c r="I125" s="1"/>
      <c r="J125" s="1"/>
      <c r="K125" s="1"/>
      <c r="L125" s="1"/>
      <c r="M125" s="1"/>
      <c r="N125" s="1"/>
      <c r="O125" s="1"/>
      <c r="P125" s="1"/>
      <c r="Q125" s="1"/>
      <c r="R125" s="1"/>
      <c r="S125" s="1"/>
      <c r="T125" s="1"/>
      <c r="U125" s="1"/>
      <c r="V125" s="1"/>
      <c r="W125" s="1"/>
      <c r="X125" s="1"/>
      <c r="Y125" s="1"/>
      <c r="Z125" s="1"/>
      <c r="AA125" s="1"/>
      <c r="AB125" s="1"/>
      <c r="AC125" s="1"/>
    </row>
    <row r="126" ht="15.75" hidden="1" customHeight="1" outlineLevel="1">
      <c r="A126" s="1"/>
      <c r="B126" s="8"/>
      <c r="C126" s="8" t="b">
        <v>0</v>
      </c>
      <c r="D126" s="8" t="s">
        <v>88</v>
      </c>
      <c r="E126" s="8" t="s">
        <v>59</v>
      </c>
      <c r="F126" s="75" t="str">
        <f t="shared" si="30"/>
        <v/>
      </c>
      <c r="G126" s="76">
        <v>1.0</v>
      </c>
      <c r="H126" s="52" t="str">
        <f>if(C126=TRUE,G126*14000,"")</f>
        <v/>
      </c>
      <c r="I126" s="1"/>
      <c r="J126" s="1"/>
      <c r="K126" s="1"/>
      <c r="L126" s="1"/>
      <c r="M126" s="1"/>
      <c r="N126" s="1"/>
      <c r="O126" s="1"/>
      <c r="P126" s="1"/>
      <c r="Q126" s="1"/>
      <c r="R126" s="1"/>
      <c r="S126" s="1"/>
      <c r="T126" s="1"/>
      <c r="U126" s="1"/>
      <c r="V126" s="1"/>
      <c r="W126" s="1"/>
      <c r="X126" s="1"/>
      <c r="Y126" s="1"/>
      <c r="Z126" s="1"/>
      <c r="AA126" s="1"/>
      <c r="AB126" s="1"/>
      <c r="AC126" s="1"/>
    </row>
    <row r="127" ht="15.75" hidden="1" customHeight="1" outlineLevel="1">
      <c r="A127" s="1"/>
      <c r="B127" s="8"/>
      <c r="C127" s="8" t="b">
        <v>0</v>
      </c>
      <c r="D127" s="8" t="s">
        <v>88</v>
      </c>
      <c r="E127" s="8" t="s">
        <v>60</v>
      </c>
      <c r="F127" s="77" t="str">
        <f>if(C127=TRUE,"Custom Quote Required","")</f>
        <v/>
      </c>
      <c r="G127" s="8"/>
      <c r="H127" s="78" t="str">
        <f>if(C127=TRUE,"Custom Quote Required","")</f>
        <v/>
      </c>
      <c r="I127" s="1"/>
      <c r="J127" s="1"/>
      <c r="K127" s="1"/>
      <c r="L127" s="1"/>
      <c r="M127" s="1"/>
      <c r="N127" s="1"/>
      <c r="O127" s="1"/>
      <c r="P127" s="1"/>
      <c r="Q127" s="1"/>
      <c r="R127" s="1"/>
      <c r="S127" s="1"/>
      <c r="T127" s="1"/>
      <c r="U127" s="1"/>
      <c r="V127" s="1"/>
      <c r="W127" s="1"/>
      <c r="X127" s="1"/>
      <c r="Y127" s="1"/>
      <c r="Z127" s="1"/>
      <c r="AA127" s="1"/>
      <c r="AB127" s="1"/>
      <c r="AC127" s="1"/>
    </row>
    <row r="128" ht="15.75" hidden="1" customHeight="1" outlineLevel="1">
      <c r="A128" s="1"/>
      <c r="B128" s="8"/>
      <c r="C128" s="8" t="b">
        <v>0</v>
      </c>
      <c r="D128" s="8" t="s">
        <v>89</v>
      </c>
      <c r="E128" s="82" t="s">
        <v>56</v>
      </c>
      <c r="F128" s="75" t="str">
        <f t="shared" ref="F128:F130" si="31">if(C128=TRUE,"# of Analyses (1 is Typical)","")</f>
        <v/>
      </c>
      <c r="G128" s="76">
        <v>1.0</v>
      </c>
      <c r="H128" s="52" t="str">
        <f>if(C128=TRUE,G128*5000,"")</f>
        <v/>
      </c>
      <c r="I128" s="1"/>
      <c r="J128" s="1"/>
      <c r="K128" s="1"/>
      <c r="L128" s="1"/>
      <c r="M128" s="1"/>
      <c r="N128" s="1"/>
      <c r="O128" s="1"/>
      <c r="P128" s="1"/>
      <c r="Q128" s="1"/>
      <c r="R128" s="1"/>
      <c r="S128" s="1"/>
      <c r="T128" s="1"/>
      <c r="U128" s="1"/>
      <c r="V128" s="1"/>
      <c r="W128" s="1"/>
      <c r="X128" s="1"/>
      <c r="Y128" s="1"/>
      <c r="Z128" s="1"/>
      <c r="AA128" s="1"/>
      <c r="AB128" s="1"/>
      <c r="AC128" s="1"/>
    </row>
    <row r="129" ht="15.75" hidden="1" customHeight="1" outlineLevel="1">
      <c r="A129" s="1"/>
      <c r="B129" s="8"/>
      <c r="C129" s="8" t="b">
        <v>0</v>
      </c>
      <c r="D129" s="8" t="s">
        <v>89</v>
      </c>
      <c r="E129" s="83" t="s">
        <v>58</v>
      </c>
      <c r="F129" s="75" t="str">
        <f t="shared" si="31"/>
        <v/>
      </c>
      <c r="G129" s="76">
        <v>1.0</v>
      </c>
      <c r="H129" s="52" t="str">
        <f>if(C129=TRUE,G129*7500,"")</f>
        <v/>
      </c>
      <c r="I129" s="1"/>
      <c r="J129" s="1"/>
      <c r="K129" s="1"/>
      <c r="L129" s="1"/>
      <c r="M129" s="1"/>
      <c r="N129" s="1"/>
      <c r="O129" s="1"/>
      <c r="P129" s="1"/>
      <c r="Q129" s="1"/>
      <c r="R129" s="1"/>
      <c r="S129" s="1"/>
      <c r="T129" s="1"/>
      <c r="U129" s="1"/>
      <c r="V129" s="1"/>
      <c r="W129" s="1"/>
      <c r="X129" s="1"/>
      <c r="Y129" s="1"/>
      <c r="Z129" s="1"/>
      <c r="AA129" s="1"/>
      <c r="AB129" s="1"/>
      <c r="AC129" s="1"/>
    </row>
    <row r="130" ht="15.75" hidden="1" customHeight="1" outlineLevel="1">
      <c r="A130" s="1"/>
      <c r="B130" s="8"/>
      <c r="C130" s="8" t="b">
        <v>0</v>
      </c>
      <c r="D130" s="8" t="s">
        <v>89</v>
      </c>
      <c r="E130" s="83" t="s">
        <v>59</v>
      </c>
      <c r="F130" s="75" t="str">
        <f t="shared" si="31"/>
        <v/>
      </c>
      <c r="G130" s="76">
        <v>1.0</v>
      </c>
      <c r="H130" s="52" t="str">
        <f>if(C130=TRUE,G130*10000,"")</f>
        <v/>
      </c>
      <c r="I130" s="1"/>
      <c r="J130" s="1"/>
      <c r="K130" s="1"/>
      <c r="L130" s="1"/>
      <c r="M130" s="1"/>
      <c r="N130" s="1"/>
      <c r="O130" s="1"/>
      <c r="P130" s="1"/>
      <c r="Q130" s="1"/>
      <c r="R130" s="1"/>
      <c r="S130" s="1"/>
      <c r="T130" s="1"/>
      <c r="U130" s="1"/>
      <c r="V130" s="1"/>
      <c r="W130" s="1"/>
      <c r="X130" s="1"/>
      <c r="Y130" s="1"/>
      <c r="Z130" s="1"/>
      <c r="AA130" s="1"/>
      <c r="AB130" s="1"/>
      <c r="AC130" s="1"/>
    </row>
    <row r="131" ht="15.75" hidden="1" customHeight="1" outlineLevel="1">
      <c r="A131" s="1"/>
      <c r="B131" s="8"/>
      <c r="C131" s="8" t="b">
        <v>0</v>
      </c>
      <c r="D131" s="8" t="s">
        <v>89</v>
      </c>
      <c r="E131" s="83" t="s">
        <v>60</v>
      </c>
      <c r="F131" s="77" t="str">
        <f>if(C131=TRUE,"Custom Quote Required","")</f>
        <v/>
      </c>
      <c r="G131" s="8"/>
      <c r="H131" s="78" t="str">
        <f>if(C131=TRUE,"Custom Quote Required","")</f>
        <v/>
      </c>
      <c r="I131" s="1"/>
      <c r="J131" s="1"/>
      <c r="K131" s="1"/>
      <c r="L131" s="1"/>
      <c r="M131" s="1"/>
      <c r="N131" s="1"/>
      <c r="O131" s="1"/>
      <c r="P131" s="1"/>
      <c r="Q131" s="1"/>
      <c r="R131" s="1"/>
      <c r="S131" s="1"/>
      <c r="T131" s="1"/>
      <c r="U131" s="1"/>
      <c r="V131" s="1"/>
      <c r="W131" s="1"/>
      <c r="X131" s="1"/>
      <c r="Y131" s="1"/>
      <c r="Z131" s="1"/>
      <c r="AA131" s="1"/>
      <c r="AB131" s="1"/>
      <c r="AC131" s="1"/>
    </row>
    <row r="132" ht="15.75" hidden="1" customHeight="1" outlineLevel="1">
      <c r="A132" s="1"/>
      <c r="B132" s="8"/>
      <c r="C132" s="8" t="b">
        <v>0</v>
      </c>
      <c r="D132" s="8" t="s">
        <v>90</v>
      </c>
      <c r="E132" s="82" t="s">
        <v>56</v>
      </c>
      <c r="F132" s="75" t="str">
        <f t="shared" ref="F132:F133" si="32">if(C132=TRUE,"# of Analyses (1 is Typical)","")</f>
        <v/>
      </c>
      <c r="G132" s="76">
        <v>1.0</v>
      </c>
      <c r="H132" s="52" t="str">
        <f>if(C132=TRUE,G132*2000,"")</f>
        <v/>
      </c>
      <c r="I132" s="74" t="str">
        <f t="shared" ref="I132:I133" si="33">IF(C132=TRUE,"Client must have bought Conjoint or MaxDiff","")</f>
        <v/>
      </c>
      <c r="J132" s="1"/>
      <c r="K132" s="1"/>
      <c r="L132" s="1"/>
      <c r="M132" s="1"/>
      <c r="N132" s="1"/>
      <c r="O132" s="1"/>
      <c r="P132" s="1"/>
      <c r="Q132" s="1"/>
      <c r="R132" s="1"/>
      <c r="S132" s="1"/>
      <c r="T132" s="1"/>
      <c r="U132" s="1"/>
      <c r="V132" s="1"/>
      <c r="W132" s="1"/>
      <c r="X132" s="1"/>
      <c r="Y132" s="1"/>
      <c r="Z132" s="1"/>
      <c r="AA132" s="1"/>
      <c r="AB132" s="1"/>
      <c r="AC132" s="1"/>
    </row>
    <row r="133" ht="15.75" hidden="1" customHeight="1" outlineLevel="1">
      <c r="A133" s="1"/>
      <c r="B133" s="8"/>
      <c r="C133" s="8" t="b">
        <v>0</v>
      </c>
      <c r="D133" s="8" t="s">
        <v>90</v>
      </c>
      <c r="E133" s="83" t="s">
        <v>58</v>
      </c>
      <c r="F133" s="75" t="str">
        <f t="shared" si="32"/>
        <v/>
      </c>
      <c r="G133" s="76">
        <v>1.0</v>
      </c>
      <c r="H133" s="52" t="str">
        <f t="shared" ref="H133:H134" si="34">if(C133=TRUE,G133*3000,"")</f>
        <v/>
      </c>
      <c r="I133" s="74" t="str">
        <f t="shared" si="33"/>
        <v/>
      </c>
      <c r="J133" s="1"/>
      <c r="K133" s="1"/>
      <c r="L133" s="1"/>
      <c r="M133" s="1"/>
      <c r="N133" s="1"/>
      <c r="O133" s="1"/>
      <c r="P133" s="1"/>
      <c r="Q133" s="1"/>
      <c r="R133" s="1"/>
      <c r="S133" s="1"/>
      <c r="T133" s="1"/>
      <c r="U133" s="1"/>
      <c r="V133" s="1"/>
      <c r="W133" s="1"/>
      <c r="X133" s="1"/>
      <c r="Y133" s="1"/>
      <c r="Z133" s="1"/>
      <c r="AA133" s="1"/>
      <c r="AB133" s="1"/>
      <c r="AC133" s="1"/>
    </row>
    <row r="134" ht="15.75" hidden="1" customHeight="1" outlineLevel="1">
      <c r="A134" s="1"/>
      <c r="B134" s="8"/>
      <c r="C134" s="8" t="b">
        <v>0</v>
      </c>
      <c r="D134" s="8" t="s">
        <v>91</v>
      </c>
      <c r="E134" s="8" t="s">
        <v>56</v>
      </c>
      <c r="F134" s="75" t="str">
        <f>if(C134=TRUE,"# of Regressions/Outcome Variables (1 is Typical)","")</f>
        <v/>
      </c>
      <c r="G134" s="76">
        <v>1.0</v>
      </c>
      <c r="H134" s="52" t="str">
        <f t="shared" si="34"/>
        <v/>
      </c>
      <c r="I134" s="1"/>
      <c r="J134" s="1"/>
      <c r="K134" s="1"/>
      <c r="L134" s="1"/>
      <c r="M134" s="1"/>
      <c r="N134" s="1"/>
      <c r="O134" s="1"/>
      <c r="P134" s="1"/>
      <c r="Q134" s="1"/>
      <c r="R134" s="1"/>
      <c r="S134" s="1"/>
      <c r="T134" s="1"/>
      <c r="U134" s="1"/>
      <c r="V134" s="1"/>
      <c r="W134" s="1"/>
      <c r="X134" s="1"/>
      <c r="Y134" s="1"/>
      <c r="Z134" s="1"/>
      <c r="AA134" s="1"/>
      <c r="AB134" s="1"/>
      <c r="AC134" s="1"/>
    </row>
    <row r="135" ht="15.75" hidden="1" customHeight="1" outlineLevel="1">
      <c r="A135" s="1"/>
      <c r="B135" s="8"/>
      <c r="C135" s="8" t="b">
        <v>0</v>
      </c>
      <c r="D135" s="8" t="s">
        <v>91</v>
      </c>
      <c r="E135" s="8" t="s">
        <v>60</v>
      </c>
      <c r="F135" s="77" t="str">
        <f>if(C135=TRUE,"Custom Quote Required","")</f>
        <v/>
      </c>
      <c r="G135" s="8"/>
      <c r="H135" s="78" t="str">
        <f>if(C135=TRUE,"Custom Quote Required","")</f>
        <v/>
      </c>
      <c r="I135" s="1"/>
      <c r="J135" s="1"/>
      <c r="K135" s="1"/>
      <c r="L135" s="1"/>
      <c r="M135" s="1"/>
      <c r="N135" s="1"/>
      <c r="O135" s="1"/>
      <c r="P135" s="1"/>
      <c r="Q135" s="1"/>
      <c r="R135" s="1"/>
      <c r="S135" s="1"/>
      <c r="T135" s="1"/>
      <c r="U135" s="1"/>
      <c r="V135" s="1"/>
      <c r="W135" s="1"/>
      <c r="X135" s="1"/>
      <c r="Y135" s="1"/>
      <c r="Z135" s="1"/>
      <c r="AA135" s="1"/>
      <c r="AB135" s="1"/>
      <c r="AC135" s="1"/>
    </row>
    <row r="136" ht="15.75" hidden="1" customHeight="1" outlineLevel="1">
      <c r="A136" s="1"/>
      <c r="B136" s="8"/>
      <c r="C136" s="8" t="b">
        <v>0</v>
      </c>
      <c r="D136" s="8" t="s">
        <v>92</v>
      </c>
      <c r="E136" s="8" t="s">
        <v>56</v>
      </c>
      <c r="F136" s="75" t="str">
        <f>if(C136=TRUE,"# of Analyses (1 is Typical)","")</f>
        <v/>
      </c>
      <c r="G136" s="76">
        <v>1.0</v>
      </c>
      <c r="H136" s="52" t="str">
        <f>if(C136=TRUE,G136*15000,"")</f>
        <v/>
      </c>
      <c r="I136" s="74" t="str">
        <f t="shared" ref="I136:I138" si="35">IF(C136=TRUE,"Only sold as part of segmentation research","")</f>
        <v/>
      </c>
      <c r="J136" s="1"/>
      <c r="K136" s="1"/>
      <c r="L136" s="1"/>
      <c r="M136" s="1"/>
      <c r="N136" s="1"/>
      <c r="O136" s="1"/>
      <c r="P136" s="1"/>
      <c r="Q136" s="1"/>
      <c r="R136" s="1"/>
      <c r="S136" s="1"/>
      <c r="T136" s="1"/>
      <c r="U136" s="1"/>
      <c r="V136" s="1"/>
      <c r="W136" s="1"/>
      <c r="X136" s="1"/>
      <c r="Y136" s="1"/>
      <c r="Z136" s="1"/>
      <c r="AA136" s="1"/>
      <c r="AB136" s="1"/>
      <c r="AC136" s="1"/>
    </row>
    <row r="137" ht="15.75" hidden="1" customHeight="1" outlineLevel="1">
      <c r="A137" s="1"/>
      <c r="B137" s="8"/>
      <c r="C137" s="8" t="b">
        <v>0</v>
      </c>
      <c r="D137" s="8" t="s">
        <v>92</v>
      </c>
      <c r="E137" s="8" t="s">
        <v>60</v>
      </c>
      <c r="F137" s="77" t="str">
        <f>if(C137=TRUE,"Custom Quote Required","")</f>
        <v/>
      </c>
      <c r="G137" s="8"/>
      <c r="H137" s="78" t="str">
        <f>if(C137=TRUE,"Custom Quote Required","")</f>
        <v/>
      </c>
      <c r="I137" s="74" t="str">
        <f t="shared" si="35"/>
        <v/>
      </c>
      <c r="J137" s="1"/>
      <c r="K137" s="1"/>
      <c r="L137" s="1"/>
      <c r="M137" s="1"/>
      <c r="N137" s="1"/>
      <c r="O137" s="1"/>
      <c r="P137" s="1"/>
      <c r="Q137" s="1"/>
      <c r="R137" s="1"/>
      <c r="S137" s="1"/>
      <c r="T137" s="1"/>
      <c r="U137" s="1"/>
      <c r="V137" s="1"/>
      <c r="W137" s="1"/>
      <c r="X137" s="1"/>
      <c r="Y137" s="1"/>
      <c r="Z137" s="1"/>
      <c r="AA137" s="1"/>
      <c r="AB137" s="1"/>
      <c r="AC137" s="1"/>
    </row>
    <row r="138" ht="15.75" hidden="1" customHeight="1" outlineLevel="1">
      <c r="A138" s="1"/>
      <c r="B138" s="8"/>
      <c r="C138" s="8" t="b">
        <v>0</v>
      </c>
      <c r="D138" s="8" t="s">
        <v>93</v>
      </c>
      <c r="E138" s="8" t="s">
        <v>56</v>
      </c>
      <c r="F138" s="75" t="str">
        <f>if(C138=TRUE,"# of Typing Tools (1 is Typical)","")</f>
        <v/>
      </c>
      <c r="G138" s="76">
        <v>1.0</v>
      </c>
      <c r="H138" s="52" t="str">
        <f>if(C138=TRUE,G138*5000,"")</f>
        <v/>
      </c>
      <c r="I138" s="74" t="str">
        <f t="shared" si="35"/>
        <v/>
      </c>
      <c r="J138" s="1"/>
      <c r="K138" s="1"/>
      <c r="L138" s="1"/>
      <c r="M138" s="1"/>
      <c r="N138" s="1"/>
      <c r="O138" s="1"/>
      <c r="P138" s="1"/>
      <c r="Q138" s="1"/>
      <c r="R138" s="1"/>
      <c r="S138" s="1"/>
      <c r="T138" s="1"/>
      <c r="U138" s="1"/>
      <c r="V138" s="1"/>
      <c r="W138" s="1"/>
      <c r="X138" s="1"/>
      <c r="Y138" s="1"/>
      <c r="Z138" s="1"/>
      <c r="AA138" s="1"/>
      <c r="AB138" s="1"/>
      <c r="AC138" s="1"/>
    </row>
    <row r="139" ht="15.75" hidden="1" customHeight="1" outlineLevel="1">
      <c r="A139" s="1"/>
      <c r="B139" s="8"/>
      <c r="C139" s="8" t="b">
        <v>0</v>
      </c>
      <c r="D139" s="8" t="s">
        <v>94</v>
      </c>
      <c r="E139" s="8" t="s">
        <v>56</v>
      </c>
      <c r="F139" s="75" t="str">
        <f>if(C139=TRUE,"# of Analyses (1 is Typical)","")</f>
        <v/>
      </c>
      <c r="G139" s="76">
        <v>1.0</v>
      </c>
      <c r="H139" s="52" t="str">
        <f>if(C139=TRUE,G139*2000,"")</f>
        <v/>
      </c>
      <c r="I139" s="74" t="str">
        <f>IF(C139=TRUE,"Only sold as part of A&amp;U or segmentation research","")</f>
        <v/>
      </c>
      <c r="J139" s="1"/>
      <c r="K139" s="1"/>
      <c r="L139" s="1"/>
      <c r="M139" s="1"/>
      <c r="N139" s="1"/>
      <c r="O139" s="1"/>
      <c r="P139" s="1"/>
      <c r="Q139" s="1"/>
      <c r="R139" s="1"/>
      <c r="S139" s="1"/>
      <c r="T139" s="1"/>
      <c r="U139" s="1"/>
      <c r="V139" s="1"/>
      <c r="W139" s="1"/>
      <c r="X139" s="1"/>
      <c r="Y139" s="1"/>
      <c r="Z139" s="1"/>
      <c r="AA139" s="1"/>
      <c r="AB139" s="1"/>
      <c r="AC139" s="1"/>
    </row>
    <row r="140" ht="15.75" customHeight="1" collapsed="1">
      <c r="A140" s="79" t="s">
        <v>95</v>
      </c>
      <c r="B140" s="8"/>
      <c r="C140" s="8"/>
      <c r="D140" s="8"/>
      <c r="E140" s="8"/>
      <c r="F140" s="9"/>
      <c r="G140" s="8"/>
      <c r="H140" s="52"/>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71" t="s">
        <v>17</v>
      </c>
      <c r="C141" s="71"/>
      <c r="D141" s="71"/>
      <c r="E141" s="71"/>
      <c r="F141" s="71"/>
      <c r="G141" s="72" t="s">
        <v>54</v>
      </c>
      <c r="H141" s="73">
        <f>sum(H142:H151)</f>
        <v>0</v>
      </c>
      <c r="I141" s="1"/>
      <c r="J141" s="1"/>
      <c r="K141" s="1"/>
      <c r="L141" s="1"/>
      <c r="M141" s="1"/>
      <c r="N141" s="1"/>
      <c r="O141" s="1"/>
      <c r="P141" s="1"/>
      <c r="Q141" s="1"/>
      <c r="R141" s="1"/>
      <c r="S141" s="1"/>
      <c r="T141" s="1"/>
      <c r="U141" s="1"/>
      <c r="V141" s="1"/>
      <c r="W141" s="1"/>
      <c r="X141" s="1"/>
      <c r="Y141" s="1"/>
      <c r="Z141" s="1"/>
      <c r="AA141" s="1"/>
      <c r="AB141" s="1"/>
      <c r="AC141" s="1"/>
    </row>
    <row r="142" ht="15.75" hidden="1" customHeight="1" outlineLevel="1">
      <c r="A142" s="1"/>
      <c r="B142" s="8"/>
      <c r="C142" s="8" t="b">
        <v>0</v>
      </c>
      <c r="D142" s="8" t="s">
        <v>96</v>
      </c>
      <c r="E142" s="8"/>
      <c r="F142" s="9"/>
      <c r="G142" s="8"/>
      <c r="H142" s="8"/>
      <c r="I142" s="1"/>
      <c r="J142" s="1"/>
      <c r="K142" s="1"/>
      <c r="L142" s="1"/>
      <c r="M142" s="1"/>
      <c r="N142" s="1"/>
      <c r="O142" s="1"/>
      <c r="P142" s="1"/>
      <c r="Q142" s="1"/>
      <c r="R142" s="1"/>
      <c r="S142" s="1"/>
      <c r="T142" s="1"/>
      <c r="U142" s="1"/>
      <c r="V142" s="1"/>
      <c r="W142" s="1"/>
      <c r="X142" s="1"/>
      <c r="Y142" s="1"/>
      <c r="Z142" s="1"/>
      <c r="AA142" s="1"/>
      <c r="AB142" s="1"/>
      <c r="AC142" s="1"/>
    </row>
    <row r="143" ht="15.75" hidden="1" customHeight="1" outlineLevel="1">
      <c r="A143" s="1"/>
      <c r="B143" s="8"/>
      <c r="C143" s="8" t="b">
        <v>0</v>
      </c>
      <c r="D143" s="8" t="s">
        <v>97</v>
      </c>
      <c r="E143" s="8"/>
      <c r="F143" s="9"/>
      <c r="G143" s="8"/>
      <c r="H143" s="8"/>
      <c r="I143" s="1"/>
      <c r="J143" s="1"/>
      <c r="K143" s="1"/>
      <c r="L143" s="1"/>
      <c r="M143" s="1"/>
      <c r="N143" s="1"/>
      <c r="O143" s="1"/>
      <c r="P143" s="1"/>
      <c r="Q143" s="1"/>
      <c r="R143" s="1"/>
      <c r="S143" s="1"/>
      <c r="T143" s="1"/>
      <c r="U143" s="1"/>
      <c r="V143" s="1"/>
      <c r="W143" s="1"/>
      <c r="X143" s="1"/>
      <c r="Y143" s="1"/>
      <c r="Z143" s="1"/>
      <c r="AA143" s="1"/>
      <c r="AB143" s="1"/>
      <c r="AC143" s="1"/>
    </row>
    <row r="144" ht="15.75" hidden="1" customHeight="1" outlineLevel="1">
      <c r="A144" s="1"/>
      <c r="B144" s="8"/>
      <c r="C144" s="8" t="b">
        <v>0</v>
      </c>
      <c r="D144" s="8" t="s">
        <v>98</v>
      </c>
      <c r="E144" s="8"/>
      <c r="F144" s="9"/>
      <c r="G144" s="8"/>
      <c r="H144" s="8"/>
      <c r="I144" s="1"/>
      <c r="J144" s="1"/>
      <c r="K144" s="1"/>
      <c r="L144" s="1"/>
      <c r="M144" s="1"/>
      <c r="N144" s="1"/>
      <c r="O144" s="1"/>
      <c r="P144" s="1"/>
      <c r="Q144" s="1"/>
      <c r="R144" s="1"/>
      <c r="S144" s="1"/>
      <c r="T144" s="1"/>
      <c r="U144" s="1"/>
      <c r="V144" s="1"/>
      <c r="W144" s="1"/>
      <c r="X144" s="1"/>
      <c r="Y144" s="1"/>
      <c r="Z144" s="1"/>
      <c r="AA144" s="1"/>
      <c r="AB144" s="1"/>
      <c r="AC144" s="1"/>
    </row>
    <row r="145" ht="15.75" hidden="1" customHeight="1" outlineLevel="1">
      <c r="A145" s="1"/>
      <c r="B145" s="8"/>
      <c r="C145" s="8" t="b">
        <v>0</v>
      </c>
      <c r="D145" s="8" t="s">
        <v>99</v>
      </c>
      <c r="E145" s="8"/>
      <c r="F145" s="9"/>
      <c r="G145" s="8"/>
      <c r="H145" s="8"/>
      <c r="I145" s="1"/>
      <c r="J145" s="1"/>
      <c r="K145" s="1"/>
      <c r="L145" s="1"/>
      <c r="M145" s="1"/>
      <c r="N145" s="1"/>
      <c r="O145" s="1"/>
      <c r="P145" s="1"/>
      <c r="Q145" s="1"/>
      <c r="R145" s="1"/>
      <c r="S145" s="1"/>
      <c r="T145" s="1"/>
      <c r="U145" s="1"/>
      <c r="V145" s="1"/>
      <c r="W145" s="1"/>
      <c r="X145" s="1"/>
      <c r="Y145" s="1"/>
      <c r="Z145" s="1"/>
      <c r="AA145" s="1"/>
      <c r="AB145" s="1"/>
      <c r="AC145" s="1"/>
    </row>
    <row r="146" ht="15.75" hidden="1" customHeight="1" outlineLevel="1">
      <c r="A146" s="1"/>
      <c r="B146" s="8"/>
      <c r="C146" s="8" t="b">
        <v>0</v>
      </c>
      <c r="D146" s="8" t="s">
        <v>100</v>
      </c>
      <c r="E146" s="8"/>
      <c r="F146" s="9"/>
      <c r="G146" s="8"/>
      <c r="H146" s="8"/>
      <c r="I146" s="1"/>
      <c r="J146" s="1"/>
      <c r="K146" s="1"/>
      <c r="L146" s="1"/>
      <c r="M146" s="1"/>
      <c r="N146" s="1"/>
      <c r="O146" s="1"/>
      <c r="P146" s="1"/>
      <c r="Q146" s="1"/>
      <c r="R146" s="1"/>
      <c r="S146" s="1"/>
      <c r="T146" s="1"/>
      <c r="U146" s="1"/>
      <c r="V146" s="1"/>
      <c r="W146" s="1"/>
      <c r="X146" s="1"/>
      <c r="Y146" s="1"/>
      <c r="Z146" s="1"/>
      <c r="AA146" s="1"/>
      <c r="AB146" s="1"/>
      <c r="AC146" s="1"/>
    </row>
    <row r="147" ht="15.75" hidden="1" customHeight="1" outlineLevel="1">
      <c r="A147" s="1"/>
      <c r="B147" s="8"/>
      <c r="C147" s="8" t="b">
        <v>0</v>
      </c>
      <c r="D147" s="8"/>
      <c r="E147" s="8"/>
      <c r="F147" s="9"/>
      <c r="G147" s="8"/>
      <c r="H147" s="8"/>
      <c r="I147" s="1"/>
      <c r="J147" s="1"/>
      <c r="K147" s="1"/>
      <c r="L147" s="1"/>
      <c r="M147" s="1"/>
      <c r="N147" s="1"/>
      <c r="O147" s="1"/>
      <c r="P147" s="1"/>
      <c r="Q147" s="1"/>
      <c r="R147" s="1"/>
      <c r="S147" s="1"/>
      <c r="T147" s="1"/>
      <c r="U147" s="1"/>
      <c r="V147" s="1"/>
      <c r="W147" s="1"/>
      <c r="X147" s="1"/>
      <c r="Y147" s="1"/>
      <c r="Z147" s="1"/>
      <c r="AA147" s="1"/>
      <c r="AB147" s="1"/>
      <c r="AC147" s="1"/>
    </row>
    <row r="148" ht="15.75" hidden="1" customHeight="1" outlineLevel="1">
      <c r="A148" s="1"/>
      <c r="B148" s="8"/>
      <c r="C148" s="8" t="b">
        <v>0</v>
      </c>
      <c r="D148" s="8"/>
      <c r="E148" s="8"/>
      <c r="F148" s="9"/>
      <c r="G148" s="8"/>
      <c r="H148" s="8"/>
      <c r="I148" s="1"/>
      <c r="J148" s="1"/>
      <c r="K148" s="1"/>
      <c r="L148" s="1"/>
      <c r="M148" s="1"/>
      <c r="N148" s="1"/>
      <c r="O148" s="1"/>
      <c r="P148" s="1"/>
      <c r="Q148" s="1"/>
      <c r="R148" s="1"/>
      <c r="S148" s="1"/>
      <c r="T148" s="1"/>
      <c r="U148" s="1"/>
      <c r="V148" s="1"/>
      <c r="W148" s="1"/>
      <c r="X148" s="1"/>
      <c r="Y148" s="1"/>
      <c r="Z148" s="1"/>
      <c r="AA148" s="1"/>
      <c r="AB148" s="1"/>
      <c r="AC148" s="1"/>
    </row>
    <row r="149" ht="15.75" hidden="1" customHeight="1" outlineLevel="1">
      <c r="A149" s="1"/>
      <c r="B149" s="8"/>
      <c r="C149" s="8" t="b">
        <v>0</v>
      </c>
      <c r="D149" s="8"/>
      <c r="E149" s="8"/>
      <c r="F149" s="9"/>
      <c r="G149" s="8"/>
      <c r="H149" s="8"/>
      <c r="I149" s="1"/>
      <c r="J149" s="1"/>
      <c r="K149" s="1"/>
      <c r="L149" s="1"/>
      <c r="M149" s="1"/>
      <c r="N149" s="1"/>
      <c r="O149" s="1"/>
      <c r="P149" s="1"/>
      <c r="Q149" s="1"/>
      <c r="R149" s="1"/>
      <c r="S149" s="1"/>
      <c r="T149" s="1"/>
      <c r="U149" s="1"/>
      <c r="V149" s="1"/>
      <c r="W149" s="1"/>
      <c r="X149" s="1"/>
      <c r="Y149" s="1"/>
      <c r="Z149" s="1"/>
      <c r="AA149" s="1"/>
      <c r="AB149" s="1"/>
      <c r="AC149" s="1"/>
    </row>
    <row r="150" ht="15.75" hidden="1" customHeight="1" outlineLevel="1">
      <c r="A150" s="1"/>
      <c r="B150" s="8"/>
      <c r="C150" s="8" t="b">
        <v>0</v>
      </c>
      <c r="D150" s="8"/>
      <c r="E150" s="8"/>
      <c r="F150" s="9"/>
      <c r="G150" s="8"/>
      <c r="H150" s="8"/>
      <c r="I150" s="1"/>
      <c r="J150" s="1"/>
      <c r="K150" s="1"/>
      <c r="L150" s="1"/>
      <c r="M150" s="1"/>
      <c r="N150" s="1"/>
      <c r="O150" s="1"/>
      <c r="P150" s="1"/>
      <c r="Q150" s="1"/>
      <c r="R150" s="1"/>
      <c r="S150" s="1"/>
      <c r="T150" s="1"/>
      <c r="U150" s="1"/>
      <c r="V150" s="1"/>
      <c r="W150" s="1"/>
      <c r="X150" s="1"/>
      <c r="Y150" s="1"/>
      <c r="Z150" s="1"/>
      <c r="AA150" s="1"/>
      <c r="AB150" s="1"/>
      <c r="AC150" s="1"/>
    </row>
    <row r="151" ht="15.75" hidden="1" customHeight="1" outlineLevel="1">
      <c r="A151" s="1"/>
      <c r="B151" s="8"/>
      <c r="C151" s="8" t="b">
        <v>0</v>
      </c>
      <c r="D151" s="8"/>
      <c r="E151" s="8"/>
      <c r="F151" s="9"/>
      <c r="G151" s="8"/>
      <c r="H151" s="8"/>
      <c r="I151" s="1"/>
      <c r="J151" s="1"/>
      <c r="K151" s="1"/>
      <c r="L151" s="1"/>
      <c r="M151" s="1"/>
      <c r="N151" s="1"/>
      <c r="O151" s="1"/>
      <c r="P151" s="1"/>
      <c r="Q151" s="1"/>
      <c r="R151" s="1"/>
      <c r="S151" s="1"/>
      <c r="T151" s="1"/>
      <c r="U151" s="1"/>
      <c r="V151" s="1"/>
      <c r="W151" s="1"/>
      <c r="X151" s="1"/>
      <c r="Y151" s="1"/>
      <c r="Z151" s="1"/>
      <c r="AA151" s="1"/>
      <c r="AB151" s="1"/>
      <c r="AC151" s="1"/>
    </row>
    <row r="152" ht="15.75" customHeight="1" collapsed="1">
      <c r="A152" s="79" t="s">
        <v>101</v>
      </c>
      <c r="B152" s="8"/>
      <c r="C152" s="8"/>
      <c r="D152" s="8"/>
      <c r="E152" s="8"/>
      <c r="F152" s="9"/>
      <c r="G152" s="8"/>
      <c r="H152" s="8"/>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71" t="s">
        <v>18</v>
      </c>
      <c r="C153" s="71"/>
      <c r="D153" s="71"/>
      <c r="E153" s="71"/>
      <c r="F153" s="71"/>
      <c r="G153" s="72" t="s">
        <v>54</v>
      </c>
      <c r="H153" s="73">
        <f>sum(H154:H163)</f>
        <v>0</v>
      </c>
      <c r="I153" s="1"/>
      <c r="J153" s="1"/>
      <c r="K153" s="1"/>
      <c r="L153" s="1"/>
      <c r="M153" s="1"/>
      <c r="N153" s="1"/>
      <c r="O153" s="1"/>
      <c r="P153" s="1"/>
      <c r="Q153" s="1"/>
      <c r="R153" s="1"/>
      <c r="S153" s="1"/>
      <c r="T153" s="1"/>
      <c r="U153" s="1"/>
      <c r="V153" s="1"/>
      <c r="W153" s="1"/>
      <c r="X153" s="1"/>
      <c r="Y153" s="1"/>
      <c r="Z153" s="1"/>
      <c r="AA153" s="1"/>
      <c r="AB153" s="1"/>
      <c r="AC153" s="1"/>
    </row>
    <row r="154" ht="15.75" hidden="1" customHeight="1" outlineLevel="1">
      <c r="A154" s="1"/>
      <c r="B154" s="8"/>
      <c r="C154" s="8" t="b">
        <v>0</v>
      </c>
      <c r="D154" s="8"/>
      <c r="E154" s="8"/>
      <c r="F154" s="9"/>
      <c r="G154" s="8"/>
      <c r="H154" s="8"/>
      <c r="I154" s="1"/>
      <c r="J154" s="1"/>
      <c r="K154" s="1"/>
      <c r="L154" s="1"/>
      <c r="M154" s="1"/>
      <c r="N154" s="1"/>
      <c r="O154" s="1"/>
      <c r="P154" s="1"/>
      <c r="Q154" s="1"/>
      <c r="R154" s="1"/>
      <c r="S154" s="1"/>
      <c r="T154" s="1"/>
      <c r="U154" s="1"/>
      <c r="V154" s="1"/>
      <c r="W154" s="1"/>
      <c r="X154" s="1"/>
      <c r="Y154" s="1"/>
      <c r="Z154" s="1"/>
      <c r="AA154" s="1"/>
      <c r="AB154" s="1"/>
      <c r="AC154" s="1"/>
    </row>
    <row r="155" ht="15.75" hidden="1" customHeight="1" outlineLevel="1">
      <c r="A155" s="1"/>
      <c r="B155" s="8"/>
      <c r="C155" s="8" t="b">
        <v>0</v>
      </c>
      <c r="D155" s="8"/>
      <c r="E155" s="8"/>
      <c r="F155" s="9"/>
      <c r="G155" s="8"/>
      <c r="H155" s="8"/>
      <c r="I155" s="1"/>
      <c r="J155" s="1"/>
      <c r="K155" s="1"/>
      <c r="L155" s="1"/>
      <c r="M155" s="1"/>
      <c r="N155" s="1"/>
      <c r="O155" s="1"/>
      <c r="P155" s="1"/>
      <c r="Q155" s="1"/>
      <c r="R155" s="1"/>
      <c r="S155" s="1"/>
      <c r="T155" s="1"/>
      <c r="U155" s="1"/>
      <c r="V155" s="1"/>
      <c r="W155" s="1"/>
      <c r="X155" s="1"/>
      <c r="Y155" s="1"/>
      <c r="Z155" s="1"/>
      <c r="AA155" s="1"/>
      <c r="AB155" s="1"/>
      <c r="AC155" s="1"/>
    </row>
    <row r="156" ht="15.75" hidden="1" customHeight="1" outlineLevel="1">
      <c r="A156" s="1"/>
      <c r="B156" s="8"/>
      <c r="C156" s="8" t="b">
        <v>0</v>
      </c>
      <c r="D156" s="8"/>
      <c r="E156" s="8"/>
      <c r="F156" s="9"/>
      <c r="G156" s="8"/>
      <c r="H156" s="8"/>
      <c r="I156" s="1"/>
      <c r="J156" s="1"/>
      <c r="K156" s="1"/>
      <c r="L156" s="1"/>
      <c r="M156" s="1"/>
      <c r="N156" s="1"/>
      <c r="O156" s="1"/>
      <c r="P156" s="1"/>
      <c r="Q156" s="1"/>
      <c r="R156" s="1"/>
      <c r="S156" s="1"/>
      <c r="T156" s="1"/>
      <c r="U156" s="1"/>
      <c r="V156" s="1"/>
      <c r="W156" s="1"/>
      <c r="X156" s="1"/>
      <c r="Y156" s="1"/>
      <c r="Z156" s="1"/>
      <c r="AA156" s="1"/>
      <c r="AB156" s="1"/>
      <c r="AC156" s="1"/>
    </row>
    <row r="157" ht="15.75" hidden="1" customHeight="1" outlineLevel="1">
      <c r="A157" s="1"/>
      <c r="B157" s="8"/>
      <c r="C157" s="8" t="b">
        <v>0</v>
      </c>
      <c r="D157" s="8"/>
      <c r="E157" s="8"/>
      <c r="F157" s="9"/>
      <c r="G157" s="8"/>
      <c r="H157" s="8"/>
      <c r="I157" s="1"/>
      <c r="J157" s="1"/>
      <c r="K157" s="1"/>
      <c r="L157" s="1"/>
      <c r="M157" s="1"/>
      <c r="N157" s="1"/>
      <c r="O157" s="1"/>
      <c r="P157" s="1"/>
      <c r="Q157" s="1"/>
      <c r="R157" s="1"/>
      <c r="S157" s="1"/>
      <c r="T157" s="1"/>
      <c r="U157" s="1"/>
      <c r="V157" s="1"/>
      <c r="W157" s="1"/>
      <c r="X157" s="1"/>
      <c r="Y157" s="1"/>
      <c r="Z157" s="1"/>
      <c r="AA157" s="1"/>
      <c r="AB157" s="1"/>
      <c r="AC157" s="1"/>
    </row>
    <row r="158" ht="15.75" hidden="1" customHeight="1" outlineLevel="1">
      <c r="A158" s="1"/>
      <c r="B158" s="8"/>
      <c r="C158" s="8" t="b">
        <v>0</v>
      </c>
      <c r="D158" s="8"/>
      <c r="E158" s="8"/>
      <c r="F158" s="9"/>
      <c r="G158" s="8"/>
      <c r="H158" s="8"/>
      <c r="I158" s="1"/>
      <c r="J158" s="1"/>
      <c r="K158" s="1"/>
      <c r="L158" s="1"/>
      <c r="M158" s="1"/>
      <c r="N158" s="1"/>
      <c r="O158" s="1"/>
      <c r="P158" s="1"/>
      <c r="Q158" s="1"/>
      <c r="R158" s="1"/>
      <c r="S158" s="1"/>
      <c r="T158" s="1"/>
      <c r="U158" s="1"/>
      <c r="V158" s="1"/>
      <c r="W158" s="1"/>
      <c r="X158" s="1"/>
      <c r="Y158" s="1"/>
      <c r="Z158" s="1"/>
      <c r="AA158" s="1"/>
      <c r="AB158" s="1"/>
      <c r="AC158" s="1"/>
    </row>
    <row r="159" ht="15.75" hidden="1" customHeight="1" outlineLevel="1">
      <c r="A159" s="1"/>
      <c r="B159" s="8"/>
      <c r="C159" s="8" t="b">
        <v>0</v>
      </c>
      <c r="D159" s="8"/>
      <c r="E159" s="8"/>
      <c r="F159" s="9"/>
      <c r="G159" s="8"/>
      <c r="H159" s="8"/>
      <c r="I159" s="1"/>
      <c r="J159" s="1"/>
      <c r="K159" s="1"/>
      <c r="L159" s="1"/>
      <c r="M159" s="1"/>
      <c r="N159" s="1"/>
      <c r="O159" s="1"/>
      <c r="P159" s="1"/>
      <c r="Q159" s="1"/>
      <c r="R159" s="1"/>
      <c r="S159" s="1"/>
      <c r="T159" s="1"/>
      <c r="U159" s="1"/>
      <c r="V159" s="1"/>
      <c r="W159" s="1"/>
      <c r="X159" s="1"/>
      <c r="Y159" s="1"/>
      <c r="Z159" s="1"/>
      <c r="AA159" s="1"/>
      <c r="AB159" s="1"/>
      <c r="AC159" s="1"/>
    </row>
    <row r="160" ht="15.75" hidden="1" customHeight="1" outlineLevel="1">
      <c r="A160" s="1"/>
      <c r="B160" s="8"/>
      <c r="C160" s="8" t="b">
        <v>0</v>
      </c>
      <c r="D160" s="8"/>
      <c r="E160" s="8"/>
      <c r="F160" s="9"/>
      <c r="G160" s="8"/>
      <c r="H160" s="8"/>
      <c r="I160" s="1"/>
      <c r="J160" s="1"/>
      <c r="K160" s="1"/>
      <c r="L160" s="1"/>
      <c r="M160" s="1"/>
      <c r="N160" s="1"/>
      <c r="O160" s="1"/>
      <c r="P160" s="1"/>
      <c r="Q160" s="1"/>
      <c r="R160" s="1"/>
      <c r="S160" s="1"/>
      <c r="T160" s="1"/>
      <c r="U160" s="1"/>
      <c r="V160" s="1"/>
      <c r="W160" s="1"/>
      <c r="X160" s="1"/>
      <c r="Y160" s="1"/>
      <c r="Z160" s="1"/>
      <c r="AA160" s="1"/>
      <c r="AB160" s="1"/>
      <c r="AC160" s="1"/>
    </row>
    <row r="161" ht="15.75" hidden="1" customHeight="1" outlineLevel="1">
      <c r="A161" s="1"/>
      <c r="B161" s="8"/>
      <c r="C161" s="8" t="b">
        <v>0</v>
      </c>
      <c r="D161" s="8"/>
      <c r="E161" s="8"/>
      <c r="F161" s="9"/>
      <c r="G161" s="8"/>
      <c r="H161" s="8"/>
      <c r="I161" s="1"/>
      <c r="J161" s="1"/>
      <c r="K161" s="1"/>
      <c r="L161" s="1"/>
      <c r="M161" s="1"/>
      <c r="N161" s="1"/>
      <c r="O161" s="1"/>
      <c r="P161" s="1"/>
      <c r="Q161" s="1"/>
      <c r="R161" s="1"/>
      <c r="S161" s="1"/>
      <c r="T161" s="1"/>
      <c r="U161" s="1"/>
      <c r="V161" s="1"/>
      <c r="W161" s="1"/>
      <c r="X161" s="1"/>
      <c r="Y161" s="1"/>
      <c r="Z161" s="1"/>
      <c r="AA161" s="1"/>
      <c r="AB161" s="1"/>
      <c r="AC161" s="1"/>
    </row>
    <row r="162" ht="15.75" hidden="1" customHeight="1" outlineLevel="1">
      <c r="A162" s="1"/>
      <c r="B162" s="8"/>
      <c r="C162" s="8" t="b">
        <v>0</v>
      </c>
      <c r="D162" s="8"/>
      <c r="E162" s="8"/>
      <c r="F162" s="9"/>
      <c r="G162" s="8"/>
      <c r="H162" s="8"/>
      <c r="I162" s="1"/>
      <c r="J162" s="1"/>
      <c r="K162" s="1"/>
      <c r="L162" s="1"/>
      <c r="M162" s="1"/>
      <c r="N162" s="1"/>
      <c r="O162" s="1"/>
      <c r="P162" s="1"/>
      <c r="Q162" s="1"/>
      <c r="R162" s="1"/>
      <c r="S162" s="1"/>
      <c r="T162" s="1"/>
      <c r="U162" s="1"/>
      <c r="V162" s="1"/>
      <c r="W162" s="1"/>
      <c r="X162" s="1"/>
      <c r="Y162" s="1"/>
      <c r="Z162" s="1"/>
      <c r="AA162" s="1"/>
      <c r="AB162" s="1"/>
      <c r="AC162" s="1"/>
    </row>
    <row r="163" ht="15.75" hidden="1" customHeight="1" outlineLevel="1">
      <c r="A163" s="1"/>
      <c r="B163" s="8"/>
      <c r="C163" s="8" t="b">
        <v>0</v>
      </c>
      <c r="D163" s="8"/>
      <c r="E163" s="8"/>
      <c r="F163" s="9"/>
      <c r="G163" s="8"/>
      <c r="H163" s="8"/>
      <c r="I163" s="1"/>
      <c r="J163" s="1"/>
      <c r="K163" s="1"/>
      <c r="L163" s="1"/>
      <c r="M163" s="1"/>
      <c r="N163" s="1"/>
      <c r="O163" s="1"/>
      <c r="P163" s="1"/>
      <c r="Q163" s="1"/>
      <c r="R163" s="1"/>
      <c r="S163" s="1"/>
      <c r="T163" s="1"/>
      <c r="U163" s="1"/>
      <c r="V163" s="1"/>
      <c r="W163" s="1"/>
      <c r="X163" s="1"/>
      <c r="Y163" s="1"/>
      <c r="Z163" s="1"/>
      <c r="AA163" s="1"/>
      <c r="AB163" s="1"/>
      <c r="AC163" s="1"/>
    </row>
    <row r="164" ht="15.75" customHeight="1" collapsed="1">
      <c r="A164" s="79" t="s">
        <v>102</v>
      </c>
      <c r="B164" s="8"/>
      <c r="C164" s="8"/>
      <c r="D164" s="8"/>
      <c r="E164" s="8"/>
      <c r="F164" s="8"/>
      <c r="G164" s="8"/>
      <c r="H164" s="8"/>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3:G3"/>
  </mergeCells>
  <conditionalFormatting sqref="D18:D19 D22">
    <cfRule type="containsBlanks" dxfId="0" priority="1">
      <formula>LEN(TRIM(D18))=0</formula>
    </cfRule>
  </conditionalFormatting>
  <conditionalFormatting sqref="I50 I80:I82 I84:I85 I89:I92 I132:I133 I136:I139">
    <cfRule type="notContainsBlanks" dxfId="1" priority="2">
      <formula>LEN(TRIM(I50))&gt;0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23"/>
      <c r="H2" s="1"/>
      <c r="I2" s="1"/>
      <c r="J2" s="1"/>
      <c r="K2" s="1"/>
      <c r="L2" s="1"/>
      <c r="M2" s="1"/>
      <c r="N2" s="1"/>
      <c r="O2" s="1"/>
      <c r="P2" s="1"/>
      <c r="Q2" s="1"/>
      <c r="R2" s="1"/>
      <c r="S2" s="1"/>
      <c r="T2" s="1"/>
      <c r="U2" s="1"/>
      <c r="V2" s="1"/>
      <c r="W2" s="1"/>
      <c r="X2" s="1"/>
      <c r="Y2" s="1"/>
      <c r="Z2" s="1"/>
    </row>
    <row r="3" ht="45.75" customHeight="1">
      <c r="A3" s="4" t="s">
        <v>2</v>
      </c>
      <c r="B3" s="84" t="s">
        <v>103</v>
      </c>
      <c r="C3" s="85" t="s">
        <v>104</v>
      </c>
      <c r="D3" s="86"/>
      <c r="E3" s="86"/>
      <c r="G3" s="87" t="s">
        <v>105</v>
      </c>
      <c r="H3" s="30"/>
      <c r="I3" s="1"/>
      <c r="J3" s="1"/>
      <c r="K3" s="1"/>
      <c r="L3" s="1"/>
      <c r="M3" s="1"/>
      <c r="N3" s="1"/>
      <c r="O3" s="1"/>
      <c r="P3" s="1"/>
      <c r="Q3" s="1"/>
      <c r="R3" s="1"/>
      <c r="S3" s="1"/>
      <c r="T3" s="1"/>
      <c r="U3" s="1"/>
      <c r="V3" s="1"/>
      <c r="W3" s="1"/>
      <c r="X3" s="1"/>
      <c r="Y3" s="1"/>
      <c r="Z3" s="1"/>
    </row>
    <row r="4" ht="15.75" customHeight="1">
      <c r="A4" s="1"/>
      <c r="B4" s="1"/>
      <c r="C4" s="1"/>
      <c r="D4" s="1"/>
      <c r="E4" s="1"/>
      <c r="F4" s="1"/>
      <c r="G4" s="3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30.75" customHeight="1">
      <c r="A7" s="89" t="s">
        <v>107</v>
      </c>
      <c r="B7" s="90" t="s">
        <v>108</v>
      </c>
      <c r="C7" s="91" t="s">
        <v>109</v>
      </c>
      <c r="D7" s="91" t="s">
        <v>110</v>
      </c>
      <c r="E7" s="91" t="s">
        <v>111</v>
      </c>
      <c r="F7" s="9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92" t="s">
        <v>53</v>
      </c>
      <c r="B9" s="90"/>
      <c r="C9" s="16" t="s">
        <v>112</v>
      </c>
      <c r="D9" s="16" t="s">
        <v>113</v>
      </c>
      <c r="E9" s="16" t="s">
        <v>114</v>
      </c>
      <c r="F9" s="16"/>
      <c r="G9" s="1"/>
      <c r="H9" s="1"/>
      <c r="I9" s="1"/>
      <c r="J9" s="1"/>
      <c r="K9" s="1"/>
      <c r="L9" s="1"/>
      <c r="M9" s="1"/>
      <c r="N9" s="1"/>
      <c r="O9" s="1"/>
      <c r="P9" s="1"/>
      <c r="Q9" s="1"/>
      <c r="R9" s="1"/>
      <c r="S9" s="1"/>
      <c r="T9" s="1"/>
      <c r="U9" s="1"/>
      <c r="V9" s="1"/>
      <c r="W9" s="1"/>
      <c r="X9" s="1"/>
      <c r="Y9" s="1"/>
      <c r="Z9" s="1"/>
    </row>
    <row r="10" ht="15.75" customHeight="1">
      <c r="A10" s="93"/>
      <c r="B10" s="94"/>
      <c r="C10" s="95" t="s">
        <v>115</v>
      </c>
      <c r="D10" s="95" t="s">
        <v>115</v>
      </c>
      <c r="E10" s="95" t="s">
        <v>116</v>
      </c>
      <c r="F10" s="16"/>
      <c r="G10" s="1"/>
      <c r="H10" s="1"/>
      <c r="I10" s="1"/>
      <c r="J10" s="1"/>
      <c r="K10" s="1"/>
      <c r="L10" s="1"/>
      <c r="M10" s="1"/>
      <c r="N10" s="1"/>
      <c r="O10" s="1"/>
      <c r="P10" s="1"/>
      <c r="Q10" s="1"/>
      <c r="R10" s="1"/>
      <c r="S10" s="1"/>
      <c r="T10" s="1"/>
      <c r="U10" s="1"/>
      <c r="V10" s="1"/>
      <c r="W10" s="1"/>
      <c r="X10" s="1"/>
      <c r="Y10" s="1"/>
      <c r="Z10" s="1"/>
    </row>
    <row r="11" ht="15.75" customHeight="1">
      <c r="A11" s="93"/>
      <c r="B11" s="94"/>
      <c r="C11" s="95" t="s">
        <v>117</v>
      </c>
      <c r="D11" s="95" t="s">
        <v>118</v>
      </c>
      <c r="E11" s="95" t="s">
        <v>118</v>
      </c>
      <c r="F11" s="16"/>
      <c r="G11" s="1"/>
      <c r="H11" s="1"/>
      <c r="I11" s="1"/>
      <c r="J11" s="1"/>
      <c r="K11" s="1"/>
      <c r="L11" s="1"/>
      <c r="M11" s="1"/>
      <c r="N11" s="1"/>
      <c r="O11" s="1"/>
      <c r="P11" s="1"/>
      <c r="Q11" s="1"/>
      <c r="R11" s="1"/>
      <c r="S11" s="1"/>
      <c r="T11" s="1"/>
      <c r="U11" s="1"/>
      <c r="V11" s="1"/>
      <c r="W11" s="1"/>
      <c r="X11" s="1"/>
      <c r="Y11" s="1"/>
      <c r="Z11" s="1"/>
    </row>
    <row r="12" ht="15.75" customHeight="1">
      <c r="A12" s="93"/>
      <c r="B12" s="94"/>
      <c r="C12" s="16" t="s">
        <v>119</v>
      </c>
      <c r="D12" s="16" t="s">
        <v>119</v>
      </c>
      <c r="E12" s="16" t="s">
        <v>119</v>
      </c>
      <c r="F12" s="16"/>
      <c r="G12" s="1"/>
      <c r="H12" s="1"/>
      <c r="I12" s="1"/>
      <c r="J12" s="1"/>
      <c r="K12" s="1"/>
      <c r="L12" s="1"/>
      <c r="M12" s="1"/>
      <c r="N12" s="1"/>
      <c r="O12" s="1"/>
      <c r="P12" s="1"/>
      <c r="Q12" s="1"/>
      <c r="R12" s="1"/>
      <c r="S12" s="1"/>
      <c r="T12" s="1"/>
      <c r="U12" s="1"/>
      <c r="V12" s="1"/>
      <c r="W12" s="1"/>
      <c r="X12" s="1"/>
      <c r="Y12" s="1"/>
      <c r="Z12" s="1"/>
    </row>
    <row r="13" ht="15.75" customHeight="1">
      <c r="A13" s="93"/>
      <c r="B13" s="94"/>
      <c r="C13" s="16" t="s">
        <v>120</v>
      </c>
      <c r="D13" s="16" t="s">
        <v>120</v>
      </c>
      <c r="E13" s="16" t="s">
        <v>120</v>
      </c>
      <c r="F13" s="16"/>
      <c r="G13" s="1"/>
      <c r="H13" s="1"/>
      <c r="I13" s="1"/>
      <c r="J13" s="1"/>
      <c r="K13" s="1"/>
      <c r="L13" s="1"/>
      <c r="M13" s="1"/>
      <c r="N13" s="1"/>
      <c r="O13" s="1"/>
      <c r="P13" s="1"/>
      <c r="Q13" s="1"/>
      <c r="R13" s="1"/>
      <c r="S13" s="1"/>
      <c r="T13" s="1"/>
      <c r="U13" s="1"/>
      <c r="V13" s="1"/>
      <c r="W13" s="1"/>
      <c r="X13" s="1"/>
      <c r="Y13" s="1"/>
      <c r="Z13" s="1"/>
    </row>
    <row r="14" ht="15.75" customHeight="1">
      <c r="A14" s="93"/>
      <c r="B14" s="94"/>
      <c r="C14" s="3"/>
      <c r="D14" s="3"/>
      <c r="E14" s="3"/>
      <c r="F14" s="3"/>
      <c r="G14" s="1"/>
      <c r="H14" s="1"/>
      <c r="I14" s="1"/>
      <c r="J14" s="1"/>
      <c r="K14" s="1"/>
      <c r="L14" s="1"/>
      <c r="M14" s="1"/>
      <c r="N14" s="1"/>
      <c r="O14" s="1"/>
      <c r="P14" s="1"/>
      <c r="Q14" s="1"/>
      <c r="R14" s="1"/>
      <c r="S14" s="1"/>
      <c r="T14" s="1"/>
      <c r="U14" s="1"/>
      <c r="V14" s="1"/>
      <c r="W14" s="1"/>
      <c r="X14" s="1"/>
      <c r="Y14" s="1"/>
      <c r="Z14" s="1"/>
    </row>
    <row r="15" ht="15.75" customHeight="1">
      <c r="A15" s="93"/>
      <c r="B15" s="94"/>
      <c r="C15" s="3"/>
      <c r="D15" s="3"/>
      <c r="E15" s="3"/>
      <c r="F15" s="3"/>
      <c r="G15" s="1"/>
      <c r="H15" s="1"/>
      <c r="I15" s="1"/>
      <c r="J15" s="1"/>
      <c r="K15" s="1"/>
      <c r="L15" s="1"/>
      <c r="M15" s="1"/>
      <c r="N15" s="1"/>
      <c r="O15" s="1"/>
      <c r="P15" s="1"/>
      <c r="Q15" s="1"/>
      <c r="R15" s="1"/>
      <c r="S15" s="1"/>
      <c r="T15" s="1"/>
      <c r="U15" s="1"/>
      <c r="V15" s="1"/>
      <c r="W15" s="1"/>
      <c r="X15" s="1"/>
      <c r="Y15" s="1"/>
      <c r="Z15" s="1"/>
    </row>
    <row r="16" ht="15.75" customHeight="1">
      <c r="A16" s="93"/>
      <c r="B16" s="94"/>
      <c r="C16" s="3"/>
      <c r="D16" s="3"/>
      <c r="E16" s="3"/>
      <c r="F16" s="3"/>
      <c r="G16" s="1"/>
      <c r="H16" s="1"/>
      <c r="I16" s="1"/>
      <c r="J16" s="1"/>
      <c r="K16" s="1"/>
      <c r="L16" s="1"/>
      <c r="M16" s="1"/>
      <c r="N16" s="1"/>
      <c r="O16" s="1"/>
      <c r="P16" s="1"/>
      <c r="Q16" s="1"/>
      <c r="R16" s="1"/>
      <c r="S16" s="1"/>
      <c r="T16" s="1"/>
      <c r="U16" s="1"/>
      <c r="V16" s="1"/>
      <c r="W16" s="1"/>
      <c r="X16" s="1"/>
      <c r="Y16" s="1"/>
      <c r="Z16" s="1"/>
    </row>
    <row r="17" ht="15.75" customHeight="1">
      <c r="A17" s="93"/>
      <c r="B17" s="94"/>
      <c r="C17" s="3"/>
      <c r="D17" s="3"/>
      <c r="E17" s="3"/>
      <c r="F17" s="3"/>
      <c r="G17" s="1"/>
      <c r="H17" s="1"/>
      <c r="I17" s="1"/>
      <c r="J17" s="1"/>
      <c r="K17" s="1"/>
      <c r="L17" s="1"/>
      <c r="M17" s="1"/>
      <c r="N17" s="1"/>
      <c r="O17" s="1"/>
      <c r="P17" s="1"/>
      <c r="Q17" s="1"/>
      <c r="R17" s="1"/>
      <c r="S17" s="1"/>
      <c r="T17" s="1"/>
      <c r="U17" s="1"/>
      <c r="V17" s="1"/>
      <c r="W17" s="1"/>
      <c r="X17" s="1"/>
      <c r="Y17" s="1"/>
      <c r="Z17" s="1"/>
    </row>
    <row r="18" ht="15.75" customHeight="1">
      <c r="A18" s="93"/>
      <c r="B18" s="96" t="s">
        <v>43</v>
      </c>
      <c r="C18" s="97">
        <v>8000.0</v>
      </c>
      <c r="D18" s="97">
        <v>11500.0</v>
      </c>
      <c r="E18" s="97">
        <v>14000.0</v>
      </c>
      <c r="F18" s="97" t="s">
        <v>60</v>
      </c>
      <c r="G18" s="1"/>
      <c r="H18" s="1"/>
      <c r="I18" s="1"/>
      <c r="J18" s="1"/>
      <c r="K18" s="1"/>
      <c r="L18" s="1"/>
      <c r="M18" s="1"/>
      <c r="N18" s="1"/>
      <c r="O18" s="1"/>
      <c r="P18" s="1"/>
      <c r="Q18" s="1"/>
      <c r="R18" s="1"/>
      <c r="S18" s="1"/>
      <c r="T18" s="1"/>
      <c r="U18" s="1"/>
      <c r="V18" s="1"/>
      <c r="W18" s="1"/>
      <c r="X18" s="1"/>
      <c r="Y18" s="1"/>
      <c r="Z18" s="1"/>
    </row>
    <row r="19" ht="15.75" customHeight="1">
      <c r="A19" s="1"/>
      <c r="B19" s="5"/>
      <c r="C19" s="5"/>
      <c r="D19" s="5"/>
      <c r="E19" s="5"/>
      <c r="F19" s="5"/>
      <c r="G19" s="1"/>
      <c r="H19" s="1"/>
      <c r="I19" s="1"/>
      <c r="J19" s="1"/>
      <c r="K19" s="1"/>
      <c r="L19" s="1"/>
      <c r="M19" s="1"/>
      <c r="N19" s="1"/>
      <c r="O19" s="1"/>
      <c r="P19" s="1"/>
      <c r="Q19" s="1"/>
      <c r="R19" s="1"/>
      <c r="S19" s="1"/>
      <c r="T19" s="1"/>
      <c r="U19" s="1"/>
      <c r="V19" s="1"/>
      <c r="W19" s="1"/>
      <c r="X19" s="1"/>
      <c r="Y19" s="1"/>
      <c r="Z19" s="1"/>
    </row>
    <row r="20" ht="15.75" customHeight="1">
      <c r="A20" s="92" t="s">
        <v>15</v>
      </c>
      <c r="B20" s="90"/>
      <c r="C20" s="98" t="s">
        <v>121</v>
      </c>
      <c r="D20" s="98" t="s">
        <v>122</v>
      </c>
      <c r="E20" s="98" t="s">
        <v>123</v>
      </c>
      <c r="F20" s="98" t="s">
        <v>124</v>
      </c>
      <c r="G20" s="1"/>
      <c r="H20" s="1"/>
      <c r="I20" s="1"/>
      <c r="J20" s="1"/>
      <c r="K20" s="1"/>
      <c r="L20" s="1"/>
      <c r="M20" s="1"/>
      <c r="N20" s="1"/>
      <c r="O20" s="1"/>
      <c r="P20" s="1"/>
      <c r="Q20" s="1"/>
      <c r="R20" s="1"/>
      <c r="S20" s="1"/>
      <c r="T20" s="1"/>
      <c r="U20" s="1"/>
      <c r="V20" s="1"/>
      <c r="W20" s="1"/>
      <c r="X20" s="1"/>
      <c r="Y20" s="1"/>
      <c r="Z20" s="1"/>
    </row>
    <row r="21" ht="15.75" customHeight="1">
      <c r="A21" s="93"/>
      <c r="B21" s="94"/>
      <c r="C21" s="97"/>
      <c r="D21" s="97"/>
      <c r="E21" s="97"/>
      <c r="F21" s="97"/>
      <c r="G21" s="1"/>
      <c r="H21" s="1"/>
      <c r="I21" s="1"/>
      <c r="J21" s="1"/>
      <c r="K21" s="1"/>
      <c r="L21" s="1"/>
      <c r="M21" s="1"/>
      <c r="N21" s="1"/>
      <c r="O21" s="1"/>
      <c r="P21" s="1"/>
      <c r="Q21" s="1"/>
      <c r="R21" s="1"/>
      <c r="S21" s="1"/>
      <c r="T21" s="1"/>
      <c r="U21" s="1"/>
      <c r="V21" s="1"/>
      <c r="W21" s="1"/>
      <c r="X21" s="1"/>
      <c r="Y21" s="1"/>
      <c r="Z21" s="1"/>
    </row>
    <row r="22" ht="15.75" customHeight="1">
      <c r="A22" s="93"/>
      <c r="B22" s="96" t="s">
        <v>43</v>
      </c>
      <c r="C22" s="97" t="s">
        <v>125</v>
      </c>
      <c r="D22" s="97" t="s">
        <v>125</v>
      </c>
      <c r="E22" s="97" t="s">
        <v>125</v>
      </c>
      <c r="F22" s="97" t="s">
        <v>125</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92" t="s">
        <v>126</v>
      </c>
      <c r="B24" s="90"/>
      <c r="C24" s="95" t="s">
        <v>127</v>
      </c>
      <c r="D24" s="95" t="s">
        <v>127</v>
      </c>
      <c r="E24" s="95" t="s">
        <v>128</v>
      </c>
      <c r="F24" s="16"/>
      <c r="G24" s="1"/>
      <c r="H24" s="1"/>
      <c r="I24" s="1"/>
      <c r="J24" s="1"/>
      <c r="K24" s="1"/>
      <c r="L24" s="1"/>
      <c r="M24" s="1"/>
      <c r="N24" s="1"/>
      <c r="O24" s="1"/>
      <c r="P24" s="1"/>
      <c r="Q24" s="1"/>
      <c r="R24" s="1"/>
      <c r="S24" s="1"/>
      <c r="T24" s="1"/>
      <c r="U24" s="1"/>
      <c r="V24" s="1"/>
      <c r="W24" s="1"/>
      <c r="X24" s="1"/>
      <c r="Y24" s="1"/>
      <c r="Z24" s="1"/>
    </row>
    <row r="25" ht="15.75" customHeight="1">
      <c r="A25" s="93"/>
      <c r="B25" s="94"/>
      <c r="C25" s="16" t="s">
        <v>129</v>
      </c>
      <c r="D25" s="16" t="s">
        <v>129</v>
      </c>
      <c r="E25" s="16" t="s">
        <v>129</v>
      </c>
      <c r="F25" s="16"/>
      <c r="G25" s="1"/>
      <c r="H25" s="1"/>
      <c r="I25" s="1"/>
      <c r="J25" s="1"/>
      <c r="K25" s="1"/>
      <c r="L25" s="1"/>
      <c r="M25" s="1"/>
      <c r="N25" s="1"/>
      <c r="O25" s="1"/>
      <c r="P25" s="1"/>
      <c r="Q25" s="1"/>
      <c r="R25" s="1"/>
      <c r="S25" s="1"/>
      <c r="T25" s="1"/>
      <c r="U25" s="1"/>
      <c r="V25" s="1"/>
      <c r="W25" s="1"/>
      <c r="X25" s="1"/>
      <c r="Y25" s="1"/>
      <c r="Z25" s="1"/>
    </row>
    <row r="26" ht="15.75" customHeight="1">
      <c r="A26" s="93"/>
      <c r="B26" s="94"/>
      <c r="C26" s="16" t="s">
        <v>130</v>
      </c>
      <c r="D26" s="16" t="s">
        <v>130</v>
      </c>
      <c r="E26" s="16" t="s">
        <v>130</v>
      </c>
      <c r="F26" s="16"/>
      <c r="G26" s="1"/>
      <c r="H26" s="1"/>
      <c r="I26" s="1"/>
      <c r="J26" s="1"/>
      <c r="K26" s="1"/>
      <c r="L26" s="1"/>
      <c r="M26" s="1"/>
      <c r="N26" s="1"/>
      <c r="O26" s="1"/>
      <c r="P26" s="1"/>
      <c r="Q26" s="1"/>
      <c r="R26" s="1"/>
      <c r="S26" s="1"/>
      <c r="T26" s="1"/>
      <c r="U26" s="1"/>
      <c r="V26" s="1"/>
      <c r="W26" s="1"/>
      <c r="X26" s="1"/>
      <c r="Y26" s="1"/>
      <c r="Z26" s="1"/>
    </row>
    <row r="27" ht="15.75" customHeight="1">
      <c r="A27" s="93"/>
      <c r="B27" s="94"/>
      <c r="C27" s="16" t="s">
        <v>131</v>
      </c>
      <c r="D27" s="16" t="s">
        <v>131</v>
      </c>
      <c r="E27" s="16" t="s">
        <v>131</v>
      </c>
      <c r="F27" s="16"/>
      <c r="G27" s="1"/>
      <c r="H27" s="1"/>
      <c r="I27" s="1"/>
      <c r="J27" s="1"/>
      <c r="K27" s="1"/>
      <c r="L27" s="1"/>
      <c r="M27" s="1"/>
      <c r="N27" s="1"/>
      <c r="O27" s="1"/>
      <c r="P27" s="1"/>
      <c r="Q27" s="1"/>
      <c r="R27" s="1"/>
      <c r="S27" s="1"/>
      <c r="T27" s="1"/>
      <c r="U27" s="1"/>
      <c r="V27" s="1"/>
      <c r="W27" s="1"/>
      <c r="X27" s="1"/>
      <c r="Y27" s="1"/>
      <c r="Z27" s="1"/>
    </row>
    <row r="28" ht="15.75" customHeight="1">
      <c r="A28" s="93"/>
      <c r="B28" s="94"/>
      <c r="C28" s="16" t="s">
        <v>132</v>
      </c>
      <c r="D28" s="16" t="s">
        <v>132</v>
      </c>
      <c r="E28" s="16" t="s">
        <v>132</v>
      </c>
      <c r="F28" s="16"/>
      <c r="G28" s="1"/>
      <c r="H28" s="1"/>
      <c r="I28" s="1"/>
      <c r="J28" s="1"/>
      <c r="K28" s="1"/>
      <c r="L28" s="1"/>
      <c r="M28" s="1"/>
      <c r="N28" s="1"/>
      <c r="O28" s="1"/>
      <c r="P28" s="1"/>
      <c r="Q28" s="1"/>
      <c r="R28" s="1"/>
      <c r="S28" s="1"/>
      <c r="T28" s="1"/>
      <c r="U28" s="1"/>
      <c r="V28" s="1"/>
      <c r="W28" s="1"/>
      <c r="X28" s="1"/>
      <c r="Y28" s="1"/>
      <c r="Z28" s="1"/>
    </row>
    <row r="29" ht="15.75" customHeight="1">
      <c r="A29" s="93"/>
      <c r="B29" s="94"/>
      <c r="C29" s="16" t="s">
        <v>133</v>
      </c>
      <c r="D29" s="16" t="s">
        <v>133</v>
      </c>
      <c r="E29" s="16" t="s">
        <v>133</v>
      </c>
      <c r="F29" s="16"/>
      <c r="G29" s="1"/>
      <c r="H29" s="1"/>
      <c r="I29" s="1"/>
      <c r="J29" s="1"/>
      <c r="K29" s="1"/>
      <c r="L29" s="1"/>
      <c r="M29" s="1"/>
      <c r="N29" s="1"/>
      <c r="O29" s="1"/>
      <c r="P29" s="1"/>
      <c r="Q29" s="1"/>
      <c r="R29" s="1"/>
      <c r="S29" s="1"/>
      <c r="T29" s="1"/>
      <c r="U29" s="1"/>
      <c r="V29" s="1"/>
      <c r="W29" s="1"/>
      <c r="X29" s="1"/>
      <c r="Y29" s="1"/>
      <c r="Z29" s="1"/>
    </row>
    <row r="30" ht="15.75" customHeight="1">
      <c r="A30" s="93"/>
      <c r="B30" s="94"/>
      <c r="C30" s="16" t="s">
        <v>134</v>
      </c>
      <c r="D30" s="16" t="s">
        <v>134</v>
      </c>
      <c r="E30" s="16" t="s">
        <v>134</v>
      </c>
      <c r="F30" s="16"/>
      <c r="G30" s="1"/>
      <c r="H30" s="1"/>
      <c r="I30" s="1"/>
      <c r="J30" s="1"/>
      <c r="K30" s="1"/>
      <c r="L30" s="1"/>
      <c r="M30" s="1"/>
      <c r="N30" s="1"/>
      <c r="O30" s="1"/>
      <c r="P30" s="1"/>
      <c r="Q30" s="1"/>
      <c r="R30" s="1"/>
      <c r="S30" s="1"/>
      <c r="T30" s="1"/>
      <c r="U30" s="1"/>
      <c r="V30" s="1"/>
      <c r="W30" s="1"/>
      <c r="X30" s="1"/>
      <c r="Y30" s="1"/>
      <c r="Z30" s="1"/>
    </row>
    <row r="31" ht="15.75" customHeight="1">
      <c r="A31" s="93"/>
      <c r="B31" s="94"/>
      <c r="C31" s="16" t="s">
        <v>135</v>
      </c>
      <c r="D31" s="16" t="s">
        <v>135</v>
      </c>
      <c r="E31" s="16" t="s">
        <v>136</v>
      </c>
      <c r="F31" s="3"/>
      <c r="G31" s="1"/>
      <c r="H31" s="1"/>
      <c r="I31" s="1"/>
      <c r="J31" s="1"/>
      <c r="K31" s="1"/>
      <c r="L31" s="1"/>
      <c r="M31" s="1"/>
      <c r="N31" s="1"/>
      <c r="O31" s="1"/>
      <c r="P31" s="1"/>
      <c r="Q31" s="1"/>
      <c r="R31" s="1"/>
      <c r="S31" s="1"/>
      <c r="T31" s="1"/>
      <c r="U31" s="1"/>
      <c r="V31" s="1"/>
      <c r="W31" s="1"/>
      <c r="X31" s="1"/>
      <c r="Y31" s="1"/>
      <c r="Z31" s="1"/>
    </row>
    <row r="32" ht="15.75" customHeight="1">
      <c r="A32" s="93"/>
      <c r="B32" s="94"/>
      <c r="C32" s="16" t="s">
        <v>137</v>
      </c>
      <c r="D32" s="16" t="s">
        <v>137</v>
      </c>
      <c r="E32" s="16" t="s">
        <v>137</v>
      </c>
      <c r="F32" s="3"/>
      <c r="G32" s="1"/>
      <c r="H32" s="1"/>
      <c r="I32" s="1"/>
      <c r="J32" s="1"/>
      <c r="K32" s="1"/>
      <c r="L32" s="1"/>
      <c r="M32" s="1"/>
      <c r="N32" s="1"/>
      <c r="O32" s="1"/>
      <c r="P32" s="1"/>
      <c r="Q32" s="1"/>
      <c r="R32" s="1"/>
      <c r="S32" s="1"/>
      <c r="T32" s="1"/>
      <c r="U32" s="1"/>
      <c r="V32" s="1"/>
      <c r="W32" s="1"/>
      <c r="X32" s="1"/>
      <c r="Y32" s="1"/>
      <c r="Z32" s="1"/>
    </row>
    <row r="33" ht="15.75" customHeight="1">
      <c r="A33" s="93"/>
      <c r="B33" s="96" t="s">
        <v>43</v>
      </c>
      <c r="C33" s="97" t="s">
        <v>138</v>
      </c>
      <c r="D33" s="97" t="s">
        <v>138</v>
      </c>
      <c r="E33" s="97" t="s">
        <v>139</v>
      </c>
      <c r="F33" s="97" t="s">
        <v>60</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141</v>
      </c>
      <c r="D35" s="97" t="s">
        <v>142</v>
      </c>
      <c r="E35" s="97" t="s">
        <v>143</v>
      </c>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00"/>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01"/>
      <c r="G38" s="1"/>
      <c r="H38" s="1"/>
      <c r="I38" s="1"/>
      <c r="J38" s="1"/>
      <c r="K38" s="1"/>
      <c r="L38" s="1"/>
      <c r="M38" s="1"/>
      <c r="N38" s="1"/>
      <c r="O38" s="1"/>
      <c r="P38" s="1"/>
      <c r="Q38" s="1"/>
      <c r="R38" s="1"/>
      <c r="S38" s="1"/>
      <c r="T38" s="1"/>
      <c r="U38" s="1"/>
      <c r="V38" s="1"/>
      <c r="W38" s="1"/>
      <c r="X38" s="1"/>
      <c r="Y38" s="1"/>
      <c r="Z38" s="1"/>
    </row>
    <row r="39" ht="15.75" customHeight="1">
      <c r="A39" s="1"/>
      <c r="B39" s="8"/>
      <c r="C39" s="8"/>
      <c r="D39" s="99"/>
      <c r="E39" s="8"/>
      <c r="F39" s="8"/>
      <c r="G39" s="1"/>
      <c r="H39" s="1"/>
      <c r="I39" s="1"/>
      <c r="J39" s="1"/>
      <c r="K39" s="1"/>
      <c r="L39" s="1"/>
      <c r="M39" s="1"/>
      <c r="N39" s="1"/>
      <c r="O39" s="1"/>
      <c r="P39" s="1"/>
      <c r="Q39" s="1"/>
      <c r="R39" s="1"/>
      <c r="S39" s="1"/>
      <c r="T39" s="1"/>
      <c r="U39" s="1"/>
      <c r="V39" s="1"/>
      <c r="W39" s="1"/>
      <c r="X39" s="1"/>
      <c r="Y39" s="1"/>
      <c r="Z39" s="1"/>
    </row>
    <row r="40" ht="15.75" customHeight="1">
      <c r="A40" s="1"/>
      <c r="B40" s="8" t="s">
        <v>94</v>
      </c>
      <c r="C40" s="60"/>
      <c r="D40" s="60">
        <v>2000.0</v>
      </c>
      <c r="E40" s="60"/>
      <c r="F40" s="8"/>
      <c r="G40" s="1"/>
      <c r="H40" s="1"/>
      <c r="I40" s="1"/>
      <c r="J40" s="1"/>
      <c r="K40" s="1"/>
      <c r="L40" s="1"/>
      <c r="M40" s="1"/>
      <c r="N40" s="1"/>
      <c r="O40" s="1"/>
      <c r="P40" s="1"/>
      <c r="Q40" s="1"/>
      <c r="R40" s="1"/>
      <c r="S40" s="1"/>
      <c r="T40" s="1"/>
      <c r="U40" s="1"/>
      <c r="V40" s="1"/>
      <c r="W40" s="1"/>
      <c r="X40" s="1"/>
      <c r="Y40" s="1"/>
      <c r="Z40" s="1"/>
    </row>
    <row r="41" ht="15.75" customHeight="1">
      <c r="A41" s="1"/>
      <c r="B41" s="8" t="s">
        <v>97</v>
      </c>
      <c r="C41" s="8"/>
      <c r="D41" s="99"/>
      <c r="E41" s="8"/>
      <c r="F41" s="8"/>
      <c r="G41" s="1"/>
      <c r="H41" s="1"/>
      <c r="I41" s="1"/>
      <c r="J41" s="1"/>
      <c r="K41" s="1"/>
      <c r="L41" s="1"/>
      <c r="M41" s="1"/>
      <c r="N41" s="1"/>
      <c r="O41" s="1"/>
      <c r="P41" s="1"/>
      <c r="Q41" s="1"/>
      <c r="R41" s="1"/>
      <c r="S41" s="1"/>
      <c r="T41" s="1"/>
      <c r="U41" s="1"/>
      <c r="V41" s="1"/>
      <c r="W41" s="1"/>
      <c r="X41" s="1"/>
      <c r="Y41" s="1"/>
      <c r="Z41" s="1"/>
    </row>
    <row r="42" ht="15.75" customHeight="1">
      <c r="A42" s="1"/>
      <c r="B42" s="8" t="s">
        <v>98</v>
      </c>
      <c r="C42" s="8"/>
      <c r="D42" s="99"/>
      <c r="E42" s="8"/>
      <c r="F42" s="8"/>
      <c r="G42" s="1"/>
      <c r="H42" s="1"/>
      <c r="I42" s="1"/>
      <c r="J42" s="1"/>
      <c r="K42" s="1"/>
      <c r="L42" s="1"/>
      <c r="M42" s="1"/>
      <c r="N42" s="1"/>
      <c r="O42" s="1"/>
      <c r="P42" s="1"/>
      <c r="Q42" s="1"/>
      <c r="R42" s="1"/>
      <c r="S42" s="1"/>
      <c r="T42" s="1"/>
      <c r="U42" s="1"/>
      <c r="V42" s="1"/>
      <c r="W42" s="1"/>
      <c r="X42" s="1"/>
      <c r="Y42" s="1"/>
      <c r="Z42" s="1"/>
    </row>
    <row r="43" ht="15.75" customHeight="1">
      <c r="A43" s="1"/>
      <c r="B43" s="8" t="s">
        <v>148</v>
      </c>
      <c r="C43" s="8"/>
      <c r="D43" s="99"/>
      <c r="E43" s="8"/>
      <c r="F43" s="8"/>
      <c r="G43" s="1"/>
      <c r="H43" s="1"/>
      <c r="I43" s="1"/>
      <c r="J43" s="1"/>
      <c r="K43" s="1"/>
      <c r="L43" s="1"/>
      <c r="M43" s="1"/>
      <c r="N43" s="1"/>
      <c r="O43" s="1"/>
      <c r="P43" s="1"/>
      <c r="Q43" s="1"/>
      <c r="R43" s="1"/>
      <c r="S43" s="1"/>
      <c r="T43" s="1"/>
      <c r="U43" s="1"/>
      <c r="V43" s="1"/>
      <c r="W43" s="1"/>
      <c r="X43" s="1"/>
      <c r="Y43" s="1"/>
      <c r="Z43" s="1"/>
    </row>
    <row r="44" ht="15.75" customHeight="1">
      <c r="A44" s="1"/>
      <c r="B44" s="8" t="s">
        <v>149</v>
      </c>
      <c r="C44" s="8"/>
      <c r="D44" s="99"/>
      <c r="E44" s="8"/>
      <c r="F44" s="8"/>
      <c r="G44" s="1"/>
      <c r="H44" s="1"/>
      <c r="I44" s="1"/>
      <c r="J44" s="1"/>
      <c r="K44" s="1"/>
      <c r="L44" s="1"/>
      <c r="M44" s="1"/>
      <c r="N44" s="1"/>
      <c r="O44" s="1"/>
      <c r="P44" s="1"/>
      <c r="Q44" s="1"/>
      <c r="R44" s="1"/>
      <c r="S44" s="1"/>
      <c r="T44" s="1"/>
      <c r="U44" s="1"/>
      <c r="V44" s="1"/>
      <c r="W44" s="1"/>
      <c r="X44" s="1"/>
      <c r="Y44" s="1"/>
      <c r="Z44" s="1"/>
    </row>
    <row r="45" ht="15.75" customHeight="1">
      <c r="A45" s="1"/>
      <c r="B45" s="8" t="s">
        <v>150</v>
      </c>
      <c r="C45" s="8"/>
      <c r="D45" s="99"/>
      <c r="E45" s="8"/>
      <c r="F45" s="8"/>
      <c r="G45" s="1"/>
      <c r="H45" s="1"/>
      <c r="I45" s="1"/>
      <c r="J45" s="1"/>
      <c r="K45" s="1"/>
      <c r="L45" s="1"/>
      <c r="M45" s="1"/>
      <c r="N45" s="1"/>
      <c r="O45" s="1"/>
      <c r="P45" s="1"/>
      <c r="Q45" s="1"/>
      <c r="R45" s="1"/>
      <c r="S45" s="1"/>
      <c r="T45" s="1"/>
      <c r="U45" s="1"/>
      <c r="V45" s="1"/>
      <c r="W45" s="1"/>
      <c r="X45" s="1"/>
      <c r="Y45" s="1"/>
      <c r="Z45" s="1"/>
    </row>
    <row r="46" ht="15.75" customHeight="1">
      <c r="A46" s="1"/>
      <c r="B46" s="8" t="s">
        <v>151</v>
      </c>
      <c r="C46" s="8"/>
      <c r="D46" s="99"/>
      <c r="E46" s="8"/>
      <c r="F46" s="8"/>
      <c r="G46" s="1"/>
      <c r="H46" s="1"/>
      <c r="I46" s="1"/>
      <c r="J46" s="1"/>
      <c r="K46" s="1"/>
      <c r="L46" s="1"/>
      <c r="M46" s="1"/>
      <c r="N46" s="1"/>
      <c r="O46" s="1"/>
      <c r="P46" s="1"/>
      <c r="Q46" s="1"/>
      <c r="R46" s="1"/>
      <c r="S46" s="1"/>
      <c r="T46" s="1"/>
      <c r="U46" s="1"/>
      <c r="V46" s="1"/>
      <c r="W46" s="1"/>
      <c r="X46" s="1"/>
      <c r="Y46" s="1"/>
      <c r="Z46" s="1"/>
    </row>
    <row r="47" ht="15.75" customHeight="1">
      <c r="A47" s="1"/>
      <c r="B47" s="8" t="s">
        <v>152</v>
      </c>
      <c r="C47" s="99"/>
      <c r="D47" s="99" t="s">
        <v>153</v>
      </c>
      <c r="E47" s="8"/>
      <c r="F47" s="8"/>
      <c r="G47" s="1"/>
      <c r="H47" s="1"/>
      <c r="I47" s="1"/>
      <c r="J47" s="1"/>
      <c r="K47" s="1"/>
      <c r="L47" s="1"/>
      <c r="M47" s="1"/>
      <c r="N47" s="1"/>
      <c r="O47" s="1"/>
      <c r="P47" s="1"/>
      <c r="Q47" s="1"/>
      <c r="R47" s="1"/>
      <c r="S47" s="1"/>
      <c r="T47" s="1"/>
      <c r="U47" s="1"/>
      <c r="V47" s="1"/>
      <c r="W47" s="1"/>
      <c r="X47" s="1"/>
      <c r="Y47" s="1"/>
      <c r="Z47" s="1"/>
    </row>
    <row r="48" ht="15.75" customHeight="1">
      <c r="A48" s="1"/>
      <c r="B48" s="103" t="s">
        <v>154</v>
      </c>
      <c r="C48" s="99"/>
      <c r="D48" s="99" t="s">
        <v>155</v>
      </c>
      <c r="E48" s="8"/>
      <c r="F48" s="8"/>
      <c r="G48" s="1"/>
      <c r="H48" s="1"/>
      <c r="I48" s="1"/>
      <c r="J48" s="1"/>
      <c r="K48" s="1"/>
      <c r="L48" s="1"/>
      <c r="M48" s="1"/>
      <c r="N48" s="1"/>
      <c r="O48" s="1"/>
      <c r="P48" s="1"/>
      <c r="Q48" s="1"/>
      <c r="R48" s="1"/>
      <c r="S48" s="1"/>
      <c r="T48" s="1"/>
      <c r="U48" s="1"/>
      <c r="V48" s="1"/>
      <c r="W48" s="1"/>
      <c r="X48" s="1"/>
      <c r="Y48" s="1"/>
      <c r="Z48" s="1"/>
    </row>
    <row r="49" ht="15.75" customHeight="1">
      <c r="A49" s="1"/>
      <c r="B49" s="104" t="s">
        <v>156</v>
      </c>
      <c r="C49" s="99"/>
      <c r="D49" s="99"/>
      <c r="E49" s="8"/>
      <c r="F49" s="8"/>
      <c r="G49" s="1"/>
      <c r="H49" s="1"/>
      <c r="I49" s="1"/>
      <c r="J49" s="1"/>
      <c r="K49" s="1"/>
      <c r="L49" s="1"/>
      <c r="M49" s="1"/>
      <c r="N49" s="1"/>
      <c r="O49" s="1"/>
      <c r="P49" s="1"/>
      <c r="Q49" s="1"/>
      <c r="R49" s="1"/>
      <c r="S49" s="1"/>
      <c r="T49" s="1"/>
      <c r="U49" s="1"/>
      <c r="V49" s="1"/>
      <c r="W49" s="1"/>
      <c r="X49" s="1"/>
      <c r="Y49" s="1"/>
      <c r="Z49" s="1"/>
    </row>
    <row r="50" ht="15.75" customHeight="1">
      <c r="A50" s="1"/>
      <c r="B50" s="8" t="s">
        <v>157</v>
      </c>
      <c r="C50" s="8"/>
      <c r="D50" s="99"/>
      <c r="E50" s="8"/>
      <c r="F50" s="8"/>
      <c r="G50" s="1"/>
      <c r="H50" s="1"/>
      <c r="I50" s="1"/>
      <c r="J50" s="1"/>
      <c r="K50" s="1"/>
      <c r="L50" s="1"/>
      <c r="M50" s="1"/>
      <c r="N50" s="1"/>
      <c r="O50" s="1"/>
      <c r="P50" s="1"/>
      <c r="Q50" s="1"/>
      <c r="R50" s="1"/>
      <c r="S50" s="1"/>
      <c r="T50" s="1"/>
      <c r="U50" s="1"/>
      <c r="V50" s="1"/>
      <c r="W50" s="1"/>
      <c r="X50" s="1"/>
      <c r="Y50" s="1"/>
      <c r="Z50" s="1"/>
    </row>
    <row r="51" ht="15.75" customHeight="1">
      <c r="A51" s="1"/>
      <c r="B51" s="8" t="s">
        <v>158</v>
      </c>
      <c r="C51" s="8"/>
      <c r="D51" s="99"/>
      <c r="E51" s="8"/>
      <c r="F51" s="8"/>
      <c r="G51" s="1"/>
      <c r="H51" s="1"/>
      <c r="I51" s="1"/>
      <c r="J51" s="1"/>
      <c r="K51" s="1"/>
      <c r="L51" s="1"/>
      <c r="M51" s="1"/>
      <c r="N51" s="1"/>
      <c r="O51" s="1"/>
      <c r="P51" s="1"/>
      <c r="Q51" s="1"/>
      <c r="R51" s="1"/>
      <c r="S51" s="1"/>
      <c r="T51" s="1"/>
      <c r="U51" s="1"/>
      <c r="V51" s="1"/>
      <c r="W51" s="1"/>
      <c r="X51" s="1"/>
      <c r="Y51" s="1"/>
      <c r="Z51" s="1"/>
    </row>
    <row r="52" ht="15.75" customHeight="1">
      <c r="A52" s="1"/>
      <c r="B52" s="8" t="s">
        <v>159</v>
      </c>
      <c r="C52" s="8"/>
      <c r="D52" s="99"/>
      <c r="E52" s="8"/>
      <c r="F52" s="8"/>
      <c r="G52" s="1"/>
      <c r="H52" s="1"/>
      <c r="I52" s="1"/>
      <c r="J52" s="1"/>
      <c r="K52" s="1"/>
      <c r="L52" s="1"/>
      <c r="M52" s="1"/>
      <c r="N52" s="1"/>
      <c r="O52" s="1"/>
      <c r="P52" s="1"/>
      <c r="Q52" s="1"/>
      <c r="R52" s="1"/>
      <c r="S52" s="1"/>
      <c r="T52" s="1"/>
      <c r="U52" s="1"/>
      <c r="V52" s="1"/>
      <c r="W52" s="1"/>
      <c r="X52" s="1"/>
      <c r="Y52" s="1"/>
      <c r="Z52" s="1"/>
    </row>
    <row r="53" ht="15.75" customHeight="1">
      <c r="A53" s="1"/>
      <c r="B53" s="8" t="s">
        <v>160</v>
      </c>
      <c r="C53" s="8"/>
      <c r="D53" s="99"/>
      <c r="E53" s="8"/>
      <c r="F53" s="1"/>
      <c r="G53" s="1"/>
      <c r="H53" s="1"/>
      <c r="I53" s="1"/>
      <c r="J53" s="1"/>
      <c r="K53" s="1"/>
      <c r="L53" s="1"/>
      <c r="M53" s="1"/>
      <c r="N53" s="1"/>
      <c r="O53" s="1"/>
      <c r="P53" s="1"/>
      <c r="Q53" s="1"/>
      <c r="R53" s="1"/>
      <c r="S53" s="1"/>
      <c r="T53" s="1"/>
      <c r="U53" s="1"/>
      <c r="V53" s="1"/>
      <c r="W53" s="1"/>
      <c r="X53" s="1"/>
      <c r="Y53" s="1"/>
      <c r="Z53" s="1"/>
    </row>
    <row r="54" ht="15.75" customHeight="1">
      <c r="A54" s="1"/>
      <c r="B54" s="8" t="s">
        <v>161</v>
      </c>
      <c r="C54" s="8"/>
      <c r="D54" s="99"/>
      <c r="E54" s="8"/>
      <c r="F54" s="1"/>
      <c r="G54" s="1"/>
      <c r="H54" s="1"/>
      <c r="I54" s="1"/>
      <c r="J54" s="1"/>
      <c r="K54" s="1"/>
      <c r="L54" s="1"/>
      <c r="M54" s="1"/>
      <c r="N54" s="1"/>
      <c r="O54" s="1"/>
      <c r="P54" s="1"/>
      <c r="Q54" s="1"/>
      <c r="R54" s="1"/>
      <c r="S54" s="1"/>
      <c r="T54" s="1"/>
      <c r="U54" s="1"/>
      <c r="V54" s="1"/>
      <c r="W54" s="1"/>
      <c r="X54" s="1"/>
      <c r="Y54" s="1"/>
      <c r="Z54" s="1"/>
    </row>
    <row r="55" ht="15.75" customHeight="1">
      <c r="A55" s="1"/>
      <c r="B55" s="8" t="s">
        <v>162</v>
      </c>
      <c r="C55" s="8"/>
      <c r="D55" s="60">
        <v>3000.0</v>
      </c>
      <c r="E55" s="8"/>
      <c r="F55" s="1"/>
      <c r="G55" s="1"/>
      <c r="H55" s="1"/>
      <c r="I55" s="1"/>
      <c r="J55" s="1"/>
      <c r="K55" s="1"/>
      <c r="L55" s="1"/>
      <c r="M55" s="1"/>
      <c r="N55" s="1"/>
      <c r="O55" s="1"/>
      <c r="P55" s="1"/>
      <c r="Q55" s="1"/>
      <c r="R55" s="1"/>
      <c r="S55" s="1"/>
      <c r="T55" s="1"/>
      <c r="U55" s="1"/>
      <c r="V55" s="1"/>
      <c r="W55" s="1"/>
      <c r="X55" s="1"/>
      <c r="Y55" s="1"/>
      <c r="Z55" s="1"/>
    </row>
    <row r="56" ht="15.75" customHeight="1">
      <c r="A56" s="1"/>
      <c r="B56" s="8" t="s">
        <v>163</v>
      </c>
      <c r="C56" s="8"/>
      <c r="D56" s="60">
        <v>5000.0</v>
      </c>
      <c r="E56" s="8"/>
      <c r="F56" s="1"/>
      <c r="G56" s="1"/>
      <c r="H56" s="1"/>
      <c r="I56" s="1"/>
      <c r="J56" s="1"/>
      <c r="K56" s="1"/>
      <c r="L56" s="1"/>
      <c r="M56" s="1"/>
      <c r="N56" s="1"/>
      <c r="O56" s="1"/>
      <c r="P56" s="1"/>
      <c r="Q56" s="1"/>
      <c r="R56" s="1"/>
      <c r="S56" s="1"/>
      <c r="T56" s="1"/>
      <c r="U56" s="1"/>
      <c r="V56" s="1"/>
      <c r="W56" s="1"/>
      <c r="X56" s="1"/>
      <c r="Y56" s="1"/>
      <c r="Z56" s="1"/>
    </row>
    <row r="57" ht="15.75" customHeight="1">
      <c r="A57" s="1"/>
      <c r="B57" s="8" t="s">
        <v>99</v>
      </c>
      <c r="C57" s="8"/>
      <c r="D57" s="99"/>
      <c r="E57" s="8"/>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r:id="rId1" ref="B3"/>
    <hyperlink display="Return to Home" location="TOC!A1" ref="G3"/>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3</v>
      </c>
      <c r="B3" s="84" t="s">
        <v>164</v>
      </c>
      <c r="C3" s="85" t="s">
        <v>165</v>
      </c>
      <c r="D3" s="86"/>
      <c r="E3" s="86"/>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30.75" customHeight="1">
      <c r="A7" s="89" t="s">
        <v>107</v>
      </c>
      <c r="B7" s="105" t="str">
        <f>HYPERLINK("https://www.qualtrics.com/marketplace/creative-testing-study/","https://www.qualtrics.com/marketplace/advertising-creative-testing/")</f>
        <v>https://www.qualtrics.com/marketplace/advertising-creative-testing/</v>
      </c>
      <c r="C7" s="91" t="s">
        <v>166</v>
      </c>
      <c r="D7" s="91" t="s">
        <v>167</v>
      </c>
      <c r="E7" s="91" t="s">
        <v>168</v>
      </c>
      <c r="F7" s="91" t="s">
        <v>169</v>
      </c>
      <c r="G7" s="1"/>
      <c r="H7" s="1"/>
      <c r="I7" s="1"/>
      <c r="J7" s="1"/>
      <c r="K7" s="1"/>
      <c r="L7" s="1"/>
      <c r="M7" s="1"/>
      <c r="N7" s="1"/>
      <c r="O7" s="1"/>
      <c r="P7" s="1"/>
      <c r="Q7" s="1"/>
      <c r="R7" s="1"/>
      <c r="S7" s="1"/>
      <c r="T7" s="1"/>
      <c r="U7" s="1"/>
      <c r="V7" s="1"/>
      <c r="W7" s="1"/>
      <c r="X7" s="1"/>
      <c r="Y7" s="1"/>
      <c r="Z7" s="1"/>
    </row>
    <row r="8" ht="30.75" customHeight="1">
      <c r="A8" s="89"/>
      <c r="B8" s="105" t="str">
        <f>HYPERLINK("https://www.qualtrics.com/marketplace/advertising-creative-testing/","https://www.qualtrics.com/marketplace/advertising-creative-testing/")</f>
        <v>https://www.qualtrics.com/marketplace/advertising-creative-testing/</v>
      </c>
      <c r="C8" s="13"/>
      <c r="D8" s="16"/>
      <c r="E8" s="16"/>
      <c r="F8" s="16"/>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92" t="s">
        <v>53</v>
      </c>
      <c r="B10" s="104" t="s">
        <v>170</v>
      </c>
      <c r="C10" s="95" t="s">
        <v>113</v>
      </c>
      <c r="D10" s="95" t="s">
        <v>114</v>
      </c>
      <c r="E10" s="95" t="s">
        <v>114</v>
      </c>
      <c r="F10" s="16"/>
      <c r="G10" s="1"/>
      <c r="H10" s="1"/>
      <c r="I10" s="1"/>
      <c r="J10" s="1"/>
      <c r="K10" s="1"/>
      <c r="L10" s="1"/>
      <c r="M10" s="1"/>
      <c r="N10" s="1"/>
      <c r="O10" s="1"/>
      <c r="P10" s="1"/>
      <c r="Q10" s="1"/>
      <c r="R10" s="1"/>
      <c r="S10" s="1"/>
      <c r="T10" s="1"/>
      <c r="U10" s="1"/>
      <c r="V10" s="1"/>
      <c r="W10" s="1"/>
      <c r="X10" s="1"/>
      <c r="Y10" s="1"/>
      <c r="Z10" s="1"/>
    </row>
    <row r="11" ht="15.75" customHeight="1">
      <c r="A11" s="93"/>
      <c r="B11" s="3" t="s">
        <v>171</v>
      </c>
      <c r="C11" s="16" t="s">
        <v>172</v>
      </c>
      <c r="D11" s="16" t="s">
        <v>172</v>
      </c>
      <c r="E11" s="16" t="s">
        <v>172</v>
      </c>
      <c r="F11" s="16"/>
      <c r="G11" s="1"/>
      <c r="H11" s="1"/>
      <c r="I11" s="1"/>
      <c r="J11" s="1"/>
      <c r="K11" s="1"/>
      <c r="L11" s="1"/>
      <c r="M11" s="1"/>
      <c r="N11" s="1"/>
      <c r="O11" s="1"/>
      <c r="P11" s="1"/>
      <c r="Q11" s="1"/>
      <c r="R11" s="1"/>
      <c r="S11" s="1"/>
      <c r="T11" s="1"/>
      <c r="U11" s="1"/>
      <c r="V11" s="1"/>
      <c r="W11" s="1"/>
      <c r="X11" s="1"/>
      <c r="Y11" s="1"/>
      <c r="Z11" s="1"/>
    </row>
    <row r="12" ht="15.75" customHeight="1">
      <c r="A12" s="93"/>
      <c r="B12" s="3" t="s">
        <v>173</v>
      </c>
      <c r="C12" s="95" t="s">
        <v>174</v>
      </c>
      <c r="D12" s="95" t="s">
        <v>175</v>
      </c>
      <c r="E12" s="95" t="s">
        <v>175</v>
      </c>
      <c r="F12" s="16"/>
      <c r="G12" s="1"/>
      <c r="H12" s="1"/>
      <c r="I12" s="1"/>
      <c r="J12" s="1"/>
      <c r="K12" s="1"/>
      <c r="L12" s="1"/>
      <c r="M12" s="1"/>
      <c r="N12" s="1"/>
      <c r="O12" s="1"/>
      <c r="P12" s="1"/>
      <c r="Q12" s="1"/>
      <c r="R12" s="1"/>
      <c r="S12" s="1"/>
      <c r="T12" s="1"/>
      <c r="U12" s="1"/>
      <c r="V12" s="1"/>
      <c r="W12" s="1"/>
      <c r="X12" s="1"/>
      <c r="Y12" s="1"/>
      <c r="Z12" s="1"/>
    </row>
    <row r="13" ht="15.75" customHeight="1">
      <c r="A13" s="93"/>
      <c r="B13" s="3" t="s">
        <v>176</v>
      </c>
      <c r="C13" s="16" t="s">
        <v>119</v>
      </c>
      <c r="D13" s="16" t="s">
        <v>119</v>
      </c>
      <c r="E13" s="16" t="s">
        <v>119</v>
      </c>
      <c r="F13" s="16"/>
      <c r="G13" s="1"/>
      <c r="H13" s="1"/>
      <c r="I13" s="1"/>
      <c r="J13" s="1"/>
      <c r="K13" s="1"/>
      <c r="L13" s="1"/>
      <c r="M13" s="1"/>
      <c r="N13" s="1"/>
      <c r="O13" s="1"/>
      <c r="P13" s="1"/>
      <c r="Q13" s="1"/>
      <c r="R13" s="1"/>
      <c r="S13" s="1"/>
      <c r="T13" s="1"/>
      <c r="U13" s="1"/>
      <c r="V13" s="1"/>
      <c r="W13" s="1"/>
      <c r="X13" s="1"/>
      <c r="Y13" s="1"/>
      <c r="Z13" s="1"/>
    </row>
    <row r="14" ht="15.75" customHeight="1">
      <c r="A14" s="93"/>
      <c r="B14" s="3"/>
      <c r="C14" s="16" t="s">
        <v>120</v>
      </c>
      <c r="D14" s="16" t="s">
        <v>120</v>
      </c>
      <c r="E14" s="16" t="s">
        <v>120</v>
      </c>
      <c r="F14" s="16"/>
      <c r="G14" s="1"/>
      <c r="H14" s="1"/>
      <c r="I14" s="1"/>
      <c r="J14" s="1"/>
      <c r="K14" s="1"/>
      <c r="L14" s="1"/>
      <c r="M14" s="1"/>
      <c r="N14" s="1"/>
      <c r="O14" s="1"/>
      <c r="P14" s="1"/>
      <c r="Q14" s="1"/>
      <c r="R14" s="1"/>
      <c r="S14" s="1"/>
      <c r="T14" s="1"/>
      <c r="U14" s="1"/>
      <c r="V14" s="1"/>
      <c r="W14" s="1"/>
      <c r="X14" s="1"/>
      <c r="Y14" s="1"/>
      <c r="Z14" s="1"/>
    </row>
    <row r="15" ht="15.75" customHeight="1">
      <c r="A15" s="93"/>
      <c r="B15" s="3"/>
      <c r="C15" s="91" t="s">
        <v>177</v>
      </c>
      <c r="D15" s="91" t="s">
        <v>177</v>
      </c>
      <c r="E15" s="91" t="s">
        <v>177</v>
      </c>
      <c r="F15" s="3"/>
      <c r="G15" s="1"/>
      <c r="H15" s="1"/>
      <c r="I15" s="1"/>
      <c r="J15" s="1"/>
      <c r="K15" s="1"/>
      <c r="L15" s="1"/>
      <c r="M15" s="1"/>
      <c r="N15" s="1"/>
      <c r="O15" s="1"/>
      <c r="P15" s="1"/>
      <c r="Q15" s="1"/>
      <c r="R15" s="1"/>
      <c r="S15" s="1"/>
      <c r="T15" s="1"/>
      <c r="U15" s="1"/>
      <c r="V15" s="1"/>
      <c r="W15" s="1"/>
      <c r="X15" s="1"/>
      <c r="Y15" s="1"/>
      <c r="Z15" s="1"/>
    </row>
    <row r="16" ht="15.75" customHeight="1">
      <c r="A16" s="93"/>
      <c r="B16" s="3"/>
      <c r="C16" s="91" t="s">
        <v>178</v>
      </c>
      <c r="D16" s="91" t="s">
        <v>178</v>
      </c>
      <c r="E16" s="91" t="s">
        <v>178</v>
      </c>
      <c r="F16" s="3"/>
      <c r="G16" s="1"/>
      <c r="H16" s="1"/>
      <c r="I16" s="1"/>
      <c r="J16" s="1"/>
      <c r="K16" s="1"/>
      <c r="L16" s="1"/>
      <c r="M16" s="1"/>
      <c r="N16" s="1"/>
      <c r="O16" s="1"/>
      <c r="P16" s="1"/>
      <c r="Q16" s="1"/>
      <c r="R16" s="1"/>
      <c r="S16" s="1"/>
      <c r="T16" s="1"/>
      <c r="U16" s="1"/>
      <c r="V16" s="1"/>
      <c r="W16" s="1"/>
      <c r="X16" s="1"/>
      <c r="Y16" s="1"/>
      <c r="Z16" s="1"/>
    </row>
    <row r="17" ht="15.75" customHeight="1">
      <c r="A17" s="93"/>
      <c r="B17" s="12" t="s">
        <v>179</v>
      </c>
      <c r="C17" s="3"/>
      <c r="D17" s="3"/>
      <c r="E17" s="3"/>
      <c r="F17" s="3"/>
      <c r="G17" s="1"/>
      <c r="H17" s="1"/>
      <c r="I17" s="1"/>
      <c r="J17" s="1"/>
      <c r="K17" s="1"/>
      <c r="L17" s="1"/>
      <c r="M17" s="1"/>
      <c r="N17" s="1"/>
      <c r="O17" s="1"/>
      <c r="P17" s="1"/>
      <c r="Q17" s="1"/>
      <c r="R17" s="1"/>
      <c r="S17" s="1"/>
      <c r="T17" s="1"/>
      <c r="U17" s="1"/>
      <c r="V17" s="1"/>
      <c r="W17" s="1"/>
      <c r="X17" s="1"/>
      <c r="Y17" s="1"/>
      <c r="Z17" s="1"/>
    </row>
    <row r="18" ht="15.75" customHeight="1">
      <c r="A18" s="93"/>
      <c r="C18" s="3"/>
      <c r="D18" s="3"/>
      <c r="E18" s="3"/>
      <c r="F18" s="3"/>
      <c r="G18" s="1"/>
      <c r="H18" s="1"/>
      <c r="I18" s="1"/>
      <c r="J18" s="1"/>
      <c r="K18" s="1"/>
      <c r="L18" s="1"/>
      <c r="M18" s="1"/>
      <c r="N18" s="1"/>
      <c r="O18" s="1"/>
      <c r="P18" s="1"/>
      <c r="Q18" s="1"/>
      <c r="R18" s="1"/>
      <c r="S18" s="1"/>
      <c r="T18" s="1"/>
      <c r="U18" s="1"/>
      <c r="V18" s="1"/>
      <c r="W18" s="1"/>
      <c r="X18" s="1"/>
      <c r="Y18" s="1"/>
      <c r="Z18" s="1"/>
    </row>
    <row r="19" ht="15.75" customHeight="1">
      <c r="A19" s="93"/>
      <c r="B19" s="12" t="s">
        <v>180</v>
      </c>
      <c r="C19" s="97">
        <v>11500.0</v>
      </c>
      <c r="D19" s="97">
        <v>14000.0</v>
      </c>
      <c r="E19" s="97">
        <v>14000.0</v>
      </c>
      <c r="F19" s="97" t="s">
        <v>60</v>
      </c>
      <c r="G19" s="1"/>
      <c r="H19" s="1"/>
      <c r="I19" s="1"/>
      <c r="J19" s="1"/>
      <c r="K19" s="1"/>
      <c r="L19" s="1"/>
      <c r="M19" s="1"/>
      <c r="N19" s="1"/>
      <c r="O19" s="1"/>
      <c r="P19" s="1"/>
      <c r="Q19" s="1"/>
      <c r="R19" s="1"/>
      <c r="S19" s="1"/>
      <c r="T19" s="1"/>
      <c r="U19" s="1"/>
      <c r="V19" s="1"/>
      <c r="W19" s="1"/>
      <c r="X19" s="1"/>
      <c r="Y19" s="1"/>
      <c r="Z19" s="1"/>
    </row>
    <row r="20" ht="15.75" customHeight="1">
      <c r="A20" s="1"/>
      <c r="B20" s="5"/>
      <c r="C20" s="5"/>
      <c r="D20" s="5"/>
      <c r="E20" s="5"/>
      <c r="F20" s="5"/>
      <c r="G20" s="1"/>
      <c r="H20" s="1"/>
      <c r="I20" s="1"/>
      <c r="J20" s="1"/>
      <c r="K20" s="1"/>
      <c r="L20" s="1"/>
      <c r="M20" s="1"/>
      <c r="N20" s="1"/>
      <c r="O20" s="1"/>
      <c r="P20" s="1"/>
      <c r="Q20" s="1"/>
      <c r="R20" s="1"/>
      <c r="S20" s="1"/>
      <c r="T20" s="1"/>
      <c r="U20" s="1"/>
      <c r="V20" s="1"/>
      <c r="W20" s="1"/>
      <c r="X20" s="1"/>
      <c r="Y20" s="1"/>
      <c r="Z20" s="1"/>
    </row>
    <row r="21" ht="15.75" customHeight="1">
      <c r="A21" s="92" t="s">
        <v>15</v>
      </c>
      <c r="B21" s="98" t="s">
        <v>181</v>
      </c>
      <c r="C21" s="98" t="s">
        <v>182</v>
      </c>
      <c r="D21" s="98" t="s">
        <v>183</v>
      </c>
      <c r="E21" s="98" t="s">
        <v>184</v>
      </c>
      <c r="F21" s="98" t="s">
        <v>185</v>
      </c>
      <c r="G21" s="1"/>
      <c r="H21" s="1"/>
      <c r="I21" s="1"/>
      <c r="J21" s="1"/>
      <c r="K21" s="1"/>
      <c r="L21" s="1"/>
      <c r="M21" s="1"/>
      <c r="N21" s="1"/>
      <c r="O21" s="1"/>
      <c r="P21" s="1"/>
      <c r="Q21" s="1"/>
      <c r="R21" s="1"/>
      <c r="S21" s="1"/>
      <c r="T21" s="1"/>
      <c r="U21" s="1"/>
      <c r="V21" s="1"/>
      <c r="W21" s="1"/>
      <c r="X21" s="1"/>
      <c r="Y21" s="1"/>
      <c r="Z21" s="1"/>
    </row>
    <row r="22" ht="15.75" customHeight="1">
      <c r="A22" s="93"/>
      <c r="B22" s="97"/>
      <c r="C22" s="97"/>
      <c r="D22" s="97"/>
      <c r="E22" s="97"/>
      <c r="F22" s="97"/>
      <c r="G22" s="1"/>
      <c r="H22" s="1"/>
      <c r="I22" s="1"/>
      <c r="J22" s="1"/>
      <c r="K22" s="1"/>
      <c r="L22" s="1"/>
      <c r="M22" s="1"/>
      <c r="N22" s="1"/>
      <c r="O22" s="1"/>
      <c r="P22" s="1"/>
      <c r="Q22" s="1"/>
      <c r="R22" s="1"/>
      <c r="S22" s="1"/>
      <c r="T22" s="1"/>
      <c r="U22" s="1"/>
      <c r="V22" s="1"/>
      <c r="W22" s="1"/>
      <c r="X22" s="1"/>
      <c r="Y22" s="1"/>
      <c r="Z22" s="1"/>
    </row>
    <row r="23" ht="15.75" customHeight="1">
      <c r="A23" s="93"/>
      <c r="B23" s="97" t="s">
        <v>125</v>
      </c>
      <c r="C23" s="97" t="s">
        <v>125</v>
      </c>
      <c r="D23" s="97" t="s">
        <v>125</v>
      </c>
      <c r="E23" s="97" t="s">
        <v>125</v>
      </c>
      <c r="F23" s="97" t="s">
        <v>125</v>
      </c>
      <c r="G23" s="1"/>
      <c r="H23" s="1"/>
      <c r="I23" s="1"/>
      <c r="J23" s="1"/>
      <c r="K23" s="1"/>
      <c r="L23" s="1"/>
      <c r="M23" s="1"/>
      <c r="N23" s="1"/>
      <c r="O23" s="1"/>
      <c r="P23" s="1"/>
      <c r="Q23" s="1"/>
      <c r="R23" s="1"/>
      <c r="S23" s="1"/>
      <c r="T23" s="1"/>
      <c r="U23" s="1"/>
      <c r="V23" s="1"/>
      <c r="W23" s="1"/>
      <c r="X23" s="1"/>
      <c r="Y23" s="1"/>
      <c r="Z23" s="1"/>
    </row>
    <row r="24" ht="15.75" customHeight="1">
      <c r="A24" s="1"/>
      <c r="B24" s="5"/>
      <c r="C24" s="5"/>
      <c r="D24" s="5"/>
      <c r="E24" s="5"/>
      <c r="F24" s="5"/>
      <c r="G24" s="1"/>
      <c r="H24" s="1"/>
      <c r="I24" s="1"/>
      <c r="J24" s="1"/>
      <c r="K24" s="1"/>
      <c r="L24" s="1"/>
      <c r="M24" s="1"/>
      <c r="N24" s="1"/>
      <c r="O24" s="1"/>
      <c r="P24" s="1"/>
      <c r="Q24" s="1"/>
      <c r="R24" s="1"/>
      <c r="S24" s="1"/>
      <c r="T24" s="1"/>
      <c r="U24" s="1"/>
      <c r="V24" s="1"/>
      <c r="W24" s="1"/>
      <c r="X24" s="1"/>
      <c r="Y24" s="1"/>
      <c r="Z24" s="1"/>
    </row>
    <row r="25" ht="15.75" customHeight="1">
      <c r="A25" s="92" t="s">
        <v>126</v>
      </c>
      <c r="B25" s="16" t="s">
        <v>186</v>
      </c>
      <c r="C25" s="95" t="s">
        <v>187</v>
      </c>
      <c r="D25" s="95" t="s">
        <v>187</v>
      </c>
      <c r="E25" s="95" t="s">
        <v>127</v>
      </c>
      <c r="F25" s="16"/>
      <c r="G25" s="1"/>
      <c r="H25" s="1"/>
      <c r="I25" s="1"/>
      <c r="J25" s="1"/>
      <c r="K25" s="1"/>
      <c r="L25" s="1"/>
      <c r="M25" s="1"/>
      <c r="N25" s="1"/>
      <c r="O25" s="1"/>
      <c r="P25" s="1"/>
      <c r="Q25" s="1"/>
      <c r="R25" s="1"/>
      <c r="S25" s="1"/>
      <c r="T25" s="1"/>
      <c r="U25" s="1"/>
      <c r="V25" s="1"/>
      <c r="W25" s="1"/>
      <c r="X25" s="1"/>
      <c r="Y25" s="1"/>
      <c r="Z25" s="1"/>
    </row>
    <row r="26" ht="15.75" customHeight="1">
      <c r="A26" s="93"/>
      <c r="B26" s="3"/>
      <c r="C26" s="16" t="s">
        <v>129</v>
      </c>
      <c r="D26" s="16" t="s">
        <v>129</v>
      </c>
      <c r="E26" s="16" t="s">
        <v>129</v>
      </c>
      <c r="F26" s="16"/>
      <c r="G26" s="1"/>
      <c r="H26" s="1"/>
      <c r="I26" s="1"/>
      <c r="J26" s="1"/>
      <c r="K26" s="1"/>
      <c r="L26" s="1"/>
      <c r="M26" s="1"/>
      <c r="N26" s="1"/>
      <c r="O26" s="1"/>
      <c r="P26" s="1"/>
      <c r="Q26" s="1"/>
      <c r="R26" s="1"/>
      <c r="S26" s="1"/>
      <c r="T26" s="1"/>
      <c r="U26" s="1"/>
      <c r="V26" s="1"/>
      <c r="W26" s="1"/>
      <c r="X26" s="1"/>
      <c r="Y26" s="1"/>
      <c r="Z26" s="1"/>
    </row>
    <row r="27" ht="15.75" customHeight="1">
      <c r="A27" s="93"/>
      <c r="B27" s="3"/>
      <c r="C27" s="16" t="s">
        <v>130</v>
      </c>
      <c r="D27" s="16" t="s">
        <v>130</v>
      </c>
      <c r="E27" s="16" t="s">
        <v>130</v>
      </c>
      <c r="F27" s="16"/>
      <c r="G27" s="1"/>
      <c r="H27" s="1"/>
      <c r="I27" s="1"/>
      <c r="J27" s="1"/>
      <c r="K27" s="1"/>
      <c r="L27" s="1"/>
      <c r="M27" s="1"/>
      <c r="N27" s="1"/>
      <c r="O27" s="1"/>
      <c r="P27" s="1"/>
      <c r="Q27" s="1"/>
      <c r="R27" s="1"/>
      <c r="S27" s="1"/>
      <c r="T27" s="1"/>
      <c r="U27" s="1"/>
      <c r="V27" s="1"/>
      <c r="W27" s="1"/>
      <c r="X27" s="1"/>
      <c r="Y27" s="1"/>
      <c r="Z27" s="1"/>
    </row>
    <row r="28" ht="15.75" customHeight="1">
      <c r="A28" s="93"/>
      <c r="B28" s="3"/>
      <c r="C28" s="16" t="s">
        <v>131</v>
      </c>
      <c r="D28" s="16" t="s">
        <v>131</v>
      </c>
      <c r="E28" s="16" t="s">
        <v>131</v>
      </c>
      <c r="F28" s="16"/>
      <c r="G28" s="1"/>
      <c r="H28" s="1"/>
      <c r="I28" s="1"/>
      <c r="J28" s="1"/>
      <c r="K28" s="1"/>
      <c r="L28" s="1"/>
      <c r="M28" s="1"/>
      <c r="N28" s="1"/>
      <c r="O28" s="1"/>
      <c r="P28" s="1"/>
      <c r="Q28" s="1"/>
      <c r="R28" s="1"/>
      <c r="S28" s="1"/>
      <c r="T28" s="1"/>
      <c r="U28" s="1"/>
      <c r="V28" s="1"/>
      <c r="W28" s="1"/>
      <c r="X28" s="1"/>
      <c r="Y28" s="1"/>
      <c r="Z28" s="1"/>
    </row>
    <row r="29" ht="15.75" customHeight="1">
      <c r="A29" s="93"/>
      <c r="B29" s="3"/>
      <c r="C29" s="16" t="s">
        <v>132</v>
      </c>
      <c r="D29" s="16" t="s">
        <v>132</v>
      </c>
      <c r="E29" s="16" t="s">
        <v>132</v>
      </c>
      <c r="F29" s="16"/>
      <c r="G29" s="1"/>
      <c r="H29" s="1"/>
      <c r="I29" s="1"/>
      <c r="J29" s="1"/>
      <c r="K29" s="1"/>
      <c r="L29" s="1"/>
      <c r="M29" s="1"/>
      <c r="N29" s="1"/>
      <c r="O29" s="1"/>
      <c r="P29" s="1"/>
      <c r="Q29" s="1"/>
      <c r="R29" s="1"/>
      <c r="S29" s="1"/>
      <c r="T29" s="1"/>
      <c r="U29" s="1"/>
      <c r="V29" s="1"/>
      <c r="W29" s="1"/>
      <c r="X29" s="1"/>
      <c r="Y29" s="1"/>
      <c r="Z29" s="1"/>
    </row>
    <row r="30" ht="15.75" customHeight="1">
      <c r="A30" s="93"/>
      <c r="B30" s="3"/>
      <c r="C30" s="95" t="s">
        <v>188</v>
      </c>
      <c r="D30" s="95" t="s">
        <v>189</v>
      </c>
      <c r="E30" s="95" t="s">
        <v>190</v>
      </c>
      <c r="F30" s="16"/>
      <c r="G30" s="1"/>
      <c r="H30" s="1"/>
      <c r="I30" s="1"/>
      <c r="J30" s="1"/>
      <c r="K30" s="1"/>
      <c r="L30" s="1"/>
      <c r="M30" s="1"/>
      <c r="N30" s="1"/>
      <c r="O30" s="1"/>
      <c r="P30" s="1"/>
      <c r="Q30" s="1"/>
      <c r="R30" s="1"/>
      <c r="S30" s="1"/>
      <c r="T30" s="1"/>
      <c r="U30" s="1"/>
      <c r="V30" s="1"/>
      <c r="W30" s="1"/>
      <c r="X30" s="1"/>
      <c r="Y30" s="1"/>
      <c r="Z30" s="1"/>
    </row>
    <row r="31" ht="15.75" customHeight="1">
      <c r="A31" s="93"/>
      <c r="B31" s="12"/>
      <c r="C31" s="16" t="s">
        <v>134</v>
      </c>
      <c r="D31" s="16" t="s">
        <v>134</v>
      </c>
      <c r="E31" s="16" t="s">
        <v>134</v>
      </c>
      <c r="F31" s="16"/>
      <c r="G31" s="1"/>
      <c r="H31" s="1"/>
      <c r="I31" s="1"/>
      <c r="J31" s="1"/>
      <c r="K31" s="1"/>
      <c r="L31" s="1"/>
      <c r="M31" s="1"/>
      <c r="N31" s="1"/>
      <c r="O31" s="1"/>
      <c r="P31" s="1"/>
      <c r="Q31" s="1"/>
      <c r="R31" s="1"/>
      <c r="S31" s="1"/>
      <c r="T31" s="1"/>
      <c r="U31" s="1"/>
      <c r="V31" s="1"/>
      <c r="W31" s="1"/>
      <c r="X31" s="1"/>
      <c r="Y31" s="1"/>
      <c r="Z31" s="1"/>
    </row>
    <row r="32" ht="15.75" customHeight="1">
      <c r="A32" s="93"/>
      <c r="B32" s="12" t="s">
        <v>179</v>
      </c>
      <c r="C32" s="16"/>
      <c r="D32" s="3"/>
      <c r="E32" s="3"/>
      <c r="F32" s="3"/>
      <c r="G32" s="1"/>
      <c r="H32" s="1"/>
      <c r="I32" s="1"/>
      <c r="J32" s="1"/>
      <c r="K32" s="1"/>
      <c r="L32" s="1"/>
      <c r="M32" s="1"/>
      <c r="N32" s="1"/>
      <c r="O32" s="1"/>
      <c r="P32" s="1"/>
      <c r="Q32" s="1"/>
      <c r="R32" s="1"/>
      <c r="S32" s="1"/>
      <c r="T32" s="1"/>
      <c r="U32" s="1"/>
      <c r="V32" s="1"/>
      <c r="W32" s="1"/>
      <c r="X32" s="1"/>
      <c r="Y32" s="1"/>
      <c r="Z32" s="1"/>
    </row>
    <row r="33" ht="15.75" customHeight="1">
      <c r="A33" s="93"/>
      <c r="C33" s="16"/>
      <c r="D33" s="3"/>
      <c r="E33" s="3"/>
      <c r="F33" s="3"/>
      <c r="G33" s="1"/>
      <c r="H33" s="1"/>
      <c r="I33" s="1"/>
      <c r="J33" s="1"/>
      <c r="K33" s="1"/>
      <c r="L33" s="1"/>
      <c r="M33" s="1"/>
      <c r="N33" s="1"/>
      <c r="O33" s="1"/>
      <c r="P33" s="1"/>
      <c r="Q33" s="1"/>
      <c r="R33" s="1"/>
      <c r="S33" s="1"/>
      <c r="T33" s="1"/>
      <c r="U33" s="1"/>
      <c r="V33" s="1"/>
      <c r="W33" s="1"/>
      <c r="X33" s="1"/>
      <c r="Y33" s="1"/>
      <c r="Z33" s="1"/>
    </row>
    <row r="34" ht="15.75" customHeight="1">
      <c r="A34" s="93"/>
      <c r="B34" s="12" t="s">
        <v>180</v>
      </c>
      <c r="C34" s="97" t="s">
        <v>191</v>
      </c>
      <c r="D34" s="97" t="s">
        <v>192</v>
      </c>
      <c r="E34" s="97" t="s">
        <v>193</v>
      </c>
      <c r="F34" s="97" t="s">
        <v>60</v>
      </c>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99" t="s">
        <v>140</v>
      </c>
      <c r="B36" s="96" t="s">
        <v>43</v>
      </c>
      <c r="C36" s="97" t="s">
        <v>194</v>
      </c>
      <c r="D36" s="97" t="s">
        <v>195</v>
      </c>
      <c r="E36" s="97" t="s">
        <v>196</v>
      </c>
      <c r="F36" s="97" t="s">
        <v>60</v>
      </c>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30.0" customHeight="1">
      <c r="A38" s="1"/>
      <c r="B38" s="100" t="s">
        <v>144</v>
      </c>
      <c r="C38" s="100"/>
      <c r="D38" s="100"/>
      <c r="E38" s="100"/>
      <c r="F38" s="100"/>
      <c r="G38" s="1"/>
      <c r="H38" s="1"/>
      <c r="I38" s="1"/>
      <c r="J38" s="1"/>
      <c r="K38" s="1"/>
      <c r="L38" s="1"/>
      <c r="M38" s="1"/>
      <c r="N38" s="1"/>
      <c r="O38" s="1"/>
      <c r="P38" s="1"/>
      <c r="Q38" s="1"/>
      <c r="R38" s="1"/>
      <c r="S38" s="1"/>
      <c r="T38" s="1"/>
      <c r="U38" s="1"/>
      <c r="V38" s="1"/>
      <c r="W38" s="1"/>
      <c r="X38" s="1"/>
      <c r="Y38" s="1"/>
      <c r="Z38" s="1"/>
    </row>
    <row r="39" ht="15.75" customHeight="1">
      <c r="A39" s="1"/>
      <c r="B39" s="101" t="s">
        <v>145</v>
      </c>
      <c r="C39" s="101" t="s">
        <v>146</v>
      </c>
      <c r="D39" s="102" t="s">
        <v>147</v>
      </c>
      <c r="E39" s="101"/>
      <c r="F39" s="101"/>
      <c r="G39" s="1"/>
      <c r="H39" s="1"/>
      <c r="I39" s="1"/>
      <c r="J39" s="1"/>
      <c r="K39" s="1"/>
      <c r="L39" s="1"/>
      <c r="M39" s="1"/>
      <c r="N39" s="1"/>
      <c r="O39" s="1"/>
      <c r="P39" s="1"/>
      <c r="Q39" s="1"/>
      <c r="R39" s="1"/>
      <c r="S39" s="1"/>
      <c r="T39" s="1"/>
      <c r="U39" s="1"/>
      <c r="V39" s="1"/>
      <c r="W39" s="1"/>
      <c r="X39" s="1"/>
      <c r="Y39" s="1"/>
      <c r="Z39" s="1"/>
    </row>
    <row r="40" ht="15.75" customHeight="1">
      <c r="A40" s="1"/>
      <c r="B40" s="8" t="s">
        <v>150</v>
      </c>
      <c r="C40" s="8"/>
      <c r="D40" s="8"/>
      <c r="E40" s="8"/>
      <c r="F40" s="8"/>
      <c r="G40" s="1"/>
      <c r="H40" s="1"/>
      <c r="I40" s="1"/>
      <c r="J40" s="1"/>
      <c r="K40" s="1"/>
      <c r="L40" s="1"/>
      <c r="M40" s="1"/>
      <c r="N40" s="1"/>
      <c r="O40" s="1"/>
      <c r="P40" s="1"/>
      <c r="Q40" s="1"/>
      <c r="R40" s="1"/>
      <c r="S40" s="1"/>
      <c r="T40" s="1"/>
      <c r="U40" s="1"/>
      <c r="V40" s="1"/>
      <c r="W40" s="1"/>
      <c r="X40" s="1"/>
      <c r="Y40" s="1"/>
      <c r="Z40" s="1"/>
    </row>
    <row r="41" ht="15.75" customHeight="1">
      <c r="A41" s="1"/>
      <c r="B41" s="8" t="s">
        <v>151</v>
      </c>
      <c r="C41" s="8"/>
      <c r="D41" s="8"/>
      <c r="E41" s="8"/>
      <c r="F41" s="8"/>
      <c r="G41" s="1"/>
      <c r="H41" s="1"/>
      <c r="I41" s="1"/>
      <c r="J41" s="1"/>
      <c r="K41" s="1"/>
      <c r="L41" s="1"/>
      <c r="M41" s="1"/>
      <c r="N41" s="1"/>
      <c r="O41" s="1"/>
      <c r="P41" s="1"/>
      <c r="Q41" s="1"/>
      <c r="R41" s="1"/>
      <c r="S41" s="1"/>
      <c r="T41" s="1"/>
      <c r="U41" s="1"/>
      <c r="V41" s="1"/>
      <c r="W41" s="1"/>
      <c r="X41" s="1"/>
      <c r="Y41" s="1"/>
      <c r="Z41" s="1"/>
    </row>
    <row r="42" ht="15.75" customHeight="1">
      <c r="A42" s="1"/>
      <c r="B42" s="8" t="s">
        <v>152</v>
      </c>
      <c r="C42" s="99"/>
      <c r="D42" s="99" t="s">
        <v>153</v>
      </c>
      <c r="E42" s="8"/>
      <c r="F42" s="8"/>
      <c r="G42" s="1"/>
      <c r="H42" s="1"/>
      <c r="I42" s="1"/>
      <c r="J42" s="1"/>
      <c r="K42" s="1"/>
      <c r="L42" s="1"/>
      <c r="M42" s="1"/>
      <c r="N42" s="1"/>
      <c r="O42" s="1"/>
      <c r="P42" s="1"/>
      <c r="Q42" s="1"/>
      <c r="R42" s="1"/>
      <c r="S42" s="1"/>
      <c r="T42" s="1"/>
      <c r="U42" s="1"/>
      <c r="V42" s="1"/>
      <c r="W42" s="1"/>
      <c r="X42" s="1"/>
      <c r="Y42" s="1"/>
      <c r="Z42" s="1"/>
    </row>
    <row r="43" ht="15.75" customHeight="1">
      <c r="A43" s="1"/>
      <c r="B43" s="103" t="s">
        <v>154</v>
      </c>
      <c r="C43" s="99"/>
      <c r="D43" s="99" t="s">
        <v>155</v>
      </c>
      <c r="E43" s="8"/>
      <c r="F43" s="8"/>
      <c r="G43" s="1"/>
      <c r="H43" s="1"/>
      <c r="I43" s="1"/>
      <c r="J43" s="1"/>
      <c r="K43" s="1"/>
      <c r="L43" s="1"/>
      <c r="M43" s="1"/>
      <c r="N43" s="1"/>
      <c r="O43" s="1"/>
      <c r="P43" s="1"/>
      <c r="Q43" s="1"/>
      <c r="R43" s="1"/>
      <c r="S43" s="1"/>
      <c r="T43" s="1"/>
      <c r="U43" s="1"/>
      <c r="V43" s="1"/>
      <c r="W43" s="1"/>
      <c r="X43" s="1"/>
      <c r="Y43" s="1"/>
      <c r="Z43" s="1"/>
    </row>
    <row r="44" ht="15.75" customHeight="1">
      <c r="A44" s="1"/>
      <c r="B44" s="104" t="s">
        <v>156</v>
      </c>
      <c r="C44" s="99"/>
      <c r="D44" s="99"/>
      <c r="E44" s="8"/>
      <c r="F44" s="8"/>
      <c r="G44" s="1"/>
      <c r="H44" s="1"/>
      <c r="I44" s="1"/>
      <c r="J44" s="1"/>
      <c r="K44" s="1"/>
      <c r="L44" s="1"/>
      <c r="M44" s="1"/>
      <c r="N44" s="1"/>
      <c r="O44" s="1"/>
      <c r="P44" s="1"/>
      <c r="Q44" s="1"/>
      <c r="R44" s="1"/>
      <c r="S44" s="1"/>
      <c r="T44" s="1"/>
      <c r="U44" s="1"/>
      <c r="V44" s="1"/>
      <c r="W44" s="1"/>
      <c r="X44" s="1"/>
      <c r="Y44" s="1"/>
      <c r="Z44" s="1"/>
    </row>
    <row r="45" ht="15.75" customHeight="1">
      <c r="A45" s="1"/>
      <c r="B45" s="8" t="s">
        <v>157</v>
      </c>
      <c r="C45" s="8"/>
      <c r="D45" s="8"/>
      <c r="E45" s="8"/>
      <c r="F45" s="8"/>
      <c r="G45" s="1"/>
      <c r="H45" s="1"/>
      <c r="I45" s="1"/>
      <c r="J45" s="1"/>
      <c r="K45" s="1"/>
      <c r="L45" s="1"/>
      <c r="M45" s="1"/>
      <c r="N45" s="1"/>
      <c r="O45" s="1"/>
      <c r="P45" s="1"/>
      <c r="Q45" s="1"/>
      <c r="R45" s="1"/>
      <c r="S45" s="1"/>
      <c r="T45" s="1"/>
      <c r="U45" s="1"/>
      <c r="V45" s="1"/>
      <c r="W45" s="1"/>
      <c r="X45" s="1"/>
      <c r="Y45" s="1"/>
      <c r="Z45" s="1"/>
    </row>
    <row r="46" ht="15.75" customHeight="1">
      <c r="A46" s="1"/>
      <c r="B46" s="8" t="s">
        <v>158</v>
      </c>
      <c r="C46" s="8"/>
      <c r="D46" s="8"/>
      <c r="E46" s="8"/>
      <c r="F46" s="8"/>
      <c r="G46" s="1"/>
      <c r="H46" s="1"/>
      <c r="I46" s="1"/>
      <c r="J46" s="1"/>
      <c r="K46" s="1"/>
      <c r="L46" s="1"/>
      <c r="M46" s="1"/>
      <c r="N46" s="1"/>
      <c r="O46" s="1"/>
      <c r="P46" s="1"/>
      <c r="Q46" s="1"/>
      <c r="R46" s="1"/>
      <c r="S46" s="1"/>
      <c r="T46" s="1"/>
      <c r="U46" s="1"/>
      <c r="V46" s="1"/>
      <c r="W46" s="1"/>
      <c r="X46" s="1"/>
      <c r="Y46" s="1"/>
      <c r="Z46" s="1"/>
    </row>
    <row r="47" ht="15.75" customHeight="1">
      <c r="A47" s="1"/>
      <c r="B47" s="8" t="s">
        <v>159</v>
      </c>
      <c r="C47" s="8"/>
      <c r="D47" s="8"/>
      <c r="E47" s="8"/>
      <c r="F47" s="8"/>
      <c r="G47" s="1"/>
      <c r="H47" s="1"/>
      <c r="I47" s="1"/>
      <c r="J47" s="1"/>
      <c r="K47" s="1"/>
      <c r="L47" s="1"/>
      <c r="M47" s="1"/>
      <c r="N47" s="1"/>
      <c r="O47" s="1"/>
      <c r="P47" s="1"/>
      <c r="Q47" s="1"/>
      <c r="R47" s="1"/>
      <c r="S47" s="1"/>
      <c r="T47" s="1"/>
      <c r="U47" s="1"/>
      <c r="V47" s="1"/>
      <c r="W47" s="1"/>
      <c r="X47" s="1"/>
      <c r="Y47" s="1"/>
      <c r="Z47" s="1"/>
    </row>
    <row r="48" ht="15.75" customHeight="1">
      <c r="A48" s="1"/>
      <c r="B48" s="8" t="s">
        <v>160</v>
      </c>
      <c r="C48" s="8"/>
      <c r="D48" s="8"/>
      <c r="E48" s="8"/>
      <c r="F48" s="8"/>
      <c r="G48" s="1"/>
      <c r="H48" s="1"/>
      <c r="I48" s="1"/>
      <c r="J48" s="1"/>
      <c r="K48" s="1"/>
      <c r="L48" s="1"/>
      <c r="M48" s="1"/>
      <c r="N48" s="1"/>
      <c r="O48" s="1"/>
      <c r="P48" s="1"/>
      <c r="Q48" s="1"/>
      <c r="R48" s="1"/>
      <c r="S48" s="1"/>
      <c r="T48" s="1"/>
      <c r="U48" s="1"/>
      <c r="V48" s="1"/>
      <c r="W48" s="1"/>
      <c r="X48" s="1"/>
      <c r="Y48" s="1"/>
      <c r="Z48" s="1"/>
    </row>
    <row r="49" ht="15.75" customHeight="1">
      <c r="A49" s="1"/>
      <c r="B49" s="8" t="s">
        <v>161</v>
      </c>
      <c r="C49" s="8"/>
      <c r="D49" s="8"/>
      <c r="E49" s="8"/>
      <c r="F49" s="8"/>
      <c r="G49" s="1"/>
      <c r="H49" s="1"/>
      <c r="I49" s="1"/>
      <c r="J49" s="1"/>
      <c r="K49" s="1"/>
      <c r="L49" s="1"/>
      <c r="M49" s="1"/>
      <c r="N49" s="1"/>
      <c r="O49" s="1"/>
      <c r="P49" s="1"/>
      <c r="Q49" s="1"/>
      <c r="R49" s="1"/>
      <c r="S49" s="1"/>
      <c r="T49" s="1"/>
      <c r="U49" s="1"/>
      <c r="V49" s="1"/>
      <c r="W49" s="1"/>
      <c r="X49" s="1"/>
      <c r="Y49" s="1"/>
      <c r="Z49" s="1"/>
    </row>
    <row r="50" ht="15.75" customHeight="1">
      <c r="A50" s="1"/>
      <c r="B50" s="8" t="s">
        <v>162</v>
      </c>
      <c r="C50" s="8"/>
      <c r="D50" s="60">
        <v>3000.0</v>
      </c>
      <c r="E50" s="8"/>
      <c r="F50" s="8"/>
      <c r="G50" s="1"/>
      <c r="H50" s="1"/>
      <c r="I50" s="1"/>
      <c r="J50" s="1"/>
      <c r="K50" s="1"/>
      <c r="L50" s="1"/>
      <c r="M50" s="1"/>
      <c r="N50" s="1"/>
      <c r="O50" s="1"/>
      <c r="P50" s="1"/>
      <c r="Q50" s="1"/>
      <c r="R50" s="1"/>
      <c r="S50" s="1"/>
      <c r="T50" s="1"/>
      <c r="U50" s="1"/>
      <c r="V50" s="1"/>
      <c r="W50" s="1"/>
      <c r="X50" s="1"/>
      <c r="Y50" s="1"/>
      <c r="Z50" s="1"/>
    </row>
    <row r="51" ht="15.75" customHeight="1">
      <c r="A51" s="1"/>
      <c r="B51" s="8" t="s">
        <v>163</v>
      </c>
      <c r="C51" s="8"/>
      <c r="D51" s="60">
        <v>5000.0</v>
      </c>
      <c r="E51" s="8"/>
      <c r="F51" s="8"/>
      <c r="G51" s="1"/>
      <c r="H51" s="1"/>
      <c r="I51" s="1"/>
      <c r="J51" s="1"/>
      <c r="K51" s="1"/>
      <c r="L51" s="1"/>
      <c r="M51" s="1"/>
      <c r="N51" s="1"/>
      <c r="O51" s="1"/>
      <c r="P51" s="1"/>
      <c r="Q51" s="1"/>
      <c r="R51" s="1"/>
      <c r="S51" s="1"/>
      <c r="T51" s="1"/>
      <c r="U51" s="1"/>
      <c r="V51" s="1"/>
      <c r="W51" s="1"/>
      <c r="X51" s="1"/>
      <c r="Y51" s="1"/>
      <c r="Z51" s="1"/>
    </row>
    <row r="52" ht="15.75" customHeight="1">
      <c r="A52" s="1"/>
      <c r="B52" s="8" t="s">
        <v>197</v>
      </c>
      <c r="C52" s="8"/>
      <c r="D52" s="99"/>
      <c r="E52" s="8"/>
      <c r="F52" s="8"/>
      <c r="G52" s="1"/>
      <c r="H52" s="1"/>
      <c r="I52" s="1"/>
      <c r="J52" s="1"/>
      <c r="K52" s="1"/>
      <c r="L52" s="1"/>
      <c r="M52" s="1"/>
      <c r="N52" s="1"/>
      <c r="O52" s="1"/>
      <c r="P52" s="1"/>
      <c r="Q52" s="1"/>
      <c r="R52" s="1"/>
      <c r="S52" s="1"/>
      <c r="T52" s="1"/>
      <c r="U52" s="1"/>
      <c r="V52" s="1"/>
      <c r="W52" s="1"/>
      <c r="X52" s="1"/>
      <c r="Y52" s="1"/>
      <c r="Z52" s="1"/>
    </row>
    <row r="53" ht="15.75" customHeight="1">
      <c r="A53" s="1"/>
      <c r="B53" s="8" t="s">
        <v>198</v>
      </c>
      <c r="C53" s="8"/>
      <c r="D53" s="8"/>
      <c r="E53" s="8"/>
      <c r="F53" s="8"/>
      <c r="G53" s="1"/>
      <c r="H53" s="1"/>
      <c r="I53" s="1"/>
      <c r="J53" s="1"/>
      <c r="K53" s="1"/>
      <c r="L53" s="1"/>
      <c r="M53" s="1"/>
      <c r="N53" s="1"/>
      <c r="O53" s="1"/>
      <c r="P53" s="1"/>
      <c r="Q53" s="1"/>
      <c r="R53" s="1"/>
      <c r="S53" s="1"/>
      <c r="T53" s="1"/>
      <c r="U53" s="1"/>
      <c r="V53" s="1"/>
      <c r="W53" s="1"/>
      <c r="X53" s="1"/>
      <c r="Y53" s="1"/>
      <c r="Z53" s="1"/>
    </row>
    <row r="54" ht="15.75" customHeight="1">
      <c r="A54" s="1"/>
      <c r="B54" s="8" t="s">
        <v>199</v>
      </c>
      <c r="C54" s="8"/>
      <c r="D54" s="8"/>
      <c r="E54" s="8"/>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10:A19"/>
    <mergeCell ref="A21:A23"/>
    <mergeCell ref="A25:A34"/>
  </mergeCells>
  <hyperlinks>
    <hyperlink r:id="rId1" ref="B3"/>
    <hyperlink display="Return to Home" location="TOC!A1" ref="G3"/>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4</v>
      </c>
      <c r="B3" s="106" t="s">
        <v>200</v>
      </c>
      <c r="C3" s="85" t="s">
        <v>201</v>
      </c>
      <c r="D3" s="86"/>
      <c r="E3" s="86"/>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30.75" customHeight="1">
      <c r="A7" s="89" t="s">
        <v>107</v>
      </c>
      <c r="B7" s="107" t="str">
        <f>HYPERLINK("https://www.qualtrics.com/marketplace/concept-testing-study/","https://www.qualtrics.com/marketplace/concept-testing-study/")</f>
        <v>https://www.qualtrics.com/marketplace/concept-testing-study/</v>
      </c>
      <c r="C7" s="91" t="s">
        <v>202</v>
      </c>
      <c r="D7" s="91" t="s">
        <v>203</v>
      </c>
      <c r="E7" s="91" t="s">
        <v>204</v>
      </c>
      <c r="F7" s="91" t="s">
        <v>205</v>
      </c>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92" t="s">
        <v>53</v>
      </c>
      <c r="B9" s="104" t="s">
        <v>170</v>
      </c>
      <c r="C9" s="95" t="s">
        <v>113</v>
      </c>
      <c r="D9" s="95" t="s">
        <v>114</v>
      </c>
      <c r="E9" s="95" t="s">
        <v>114</v>
      </c>
      <c r="F9" s="16"/>
      <c r="G9" s="1"/>
      <c r="H9" s="1"/>
      <c r="I9" s="1"/>
      <c r="J9" s="1"/>
      <c r="K9" s="1"/>
      <c r="L9" s="1"/>
      <c r="M9" s="1"/>
      <c r="N9" s="1"/>
      <c r="O9" s="1"/>
      <c r="P9" s="1"/>
      <c r="Q9" s="1"/>
      <c r="R9" s="1"/>
      <c r="S9" s="1"/>
      <c r="T9" s="1"/>
      <c r="U9" s="1"/>
      <c r="V9" s="1"/>
      <c r="W9" s="1"/>
      <c r="X9" s="1"/>
      <c r="Y9" s="1"/>
      <c r="Z9" s="1"/>
    </row>
    <row r="10" ht="15.75" customHeight="1">
      <c r="A10" s="93"/>
      <c r="B10" s="3" t="s">
        <v>171</v>
      </c>
      <c r="C10" s="16" t="s">
        <v>172</v>
      </c>
      <c r="D10" s="16" t="s">
        <v>172</v>
      </c>
      <c r="E10" s="16" t="s">
        <v>172</v>
      </c>
      <c r="F10" s="16"/>
      <c r="G10" s="1"/>
      <c r="H10" s="1"/>
      <c r="I10" s="1"/>
      <c r="J10" s="1"/>
      <c r="K10" s="1"/>
      <c r="L10" s="1"/>
      <c r="M10" s="1"/>
      <c r="N10" s="1"/>
      <c r="O10" s="1"/>
      <c r="P10" s="1"/>
      <c r="Q10" s="1"/>
      <c r="R10" s="1"/>
      <c r="S10" s="1"/>
      <c r="T10" s="1"/>
      <c r="U10" s="1"/>
      <c r="V10" s="1"/>
      <c r="W10" s="1"/>
      <c r="X10" s="1"/>
      <c r="Y10" s="1"/>
      <c r="Z10" s="1"/>
    </row>
    <row r="11" ht="15.75" customHeight="1">
      <c r="A11" s="93"/>
      <c r="B11" s="3" t="s">
        <v>173</v>
      </c>
      <c r="C11" s="95" t="s">
        <v>206</v>
      </c>
      <c r="D11" s="95" t="s">
        <v>207</v>
      </c>
      <c r="E11" s="95" t="s">
        <v>207</v>
      </c>
      <c r="F11" s="16"/>
      <c r="G11" s="1"/>
      <c r="H11" s="1"/>
      <c r="I11" s="1"/>
      <c r="J11" s="1"/>
      <c r="K11" s="1"/>
      <c r="L11" s="1"/>
      <c r="M11" s="1"/>
      <c r="N11" s="1"/>
      <c r="O11" s="1"/>
      <c r="P11" s="1"/>
      <c r="Q11" s="1"/>
      <c r="R11" s="1"/>
      <c r="S11" s="1"/>
      <c r="T11" s="1"/>
      <c r="U11" s="1"/>
      <c r="V11" s="1"/>
      <c r="W11" s="1"/>
      <c r="X11" s="1"/>
      <c r="Y11" s="1"/>
      <c r="Z11" s="1"/>
    </row>
    <row r="12" ht="15.75" customHeight="1">
      <c r="A12" s="93"/>
      <c r="B12" s="3" t="s">
        <v>176</v>
      </c>
      <c r="C12" s="16" t="s">
        <v>119</v>
      </c>
      <c r="D12" s="16" t="s">
        <v>119</v>
      </c>
      <c r="E12" s="16" t="s">
        <v>119</v>
      </c>
      <c r="F12" s="16"/>
      <c r="G12" s="1"/>
      <c r="H12" s="1"/>
      <c r="I12" s="1"/>
      <c r="J12" s="1"/>
      <c r="K12" s="1"/>
      <c r="L12" s="1"/>
      <c r="M12" s="1"/>
      <c r="N12" s="1"/>
      <c r="O12" s="1"/>
      <c r="P12" s="1"/>
      <c r="Q12" s="1"/>
      <c r="R12" s="1"/>
      <c r="S12" s="1"/>
      <c r="T12" s="1"/>
      <c r="U12" s="1"/>
      <c r="V12" s="1"/>
      <c r="W12" s="1"/>
      <c r="X12" s="1"/>
      <c r="Y12" s="1"/>
      <c r="Z12" s="1"/>
    </row>
    <row r="13" ht="15.75" customHeight="1">
      <c r="A13" s="93"/>
      <c r="B13" s="3"/>
      <c r="C13" s="16" t="s">
        <v>120</v>
      </c>
      <c r="D13" s="16" t="s">
        <v>120</v>
      </c>
      <c r="E13" s="16" t="s">
        <v>120</v>
      </c>
      <c r="F13" s="16"/>
      <c r="G13" s="1"/>
      <c r="H13" s="1"/>
      <c r="I13" s="1"/>
      <c r="J13" s="1"/>
      <c r="K13" s="1"/>
      <c r="L13" s="1"/>
      <c r="M13" s="1"/>
      <c r="N13" s="1"/>
      <c r="O13" s="1"/>
      <c r="P13" s="1"/>
      <c r="Q13" s="1"/>
      <c r="R13" s="1"/>
      <c r="S13" s="1"/>
      <c r="T13" s="1"/>
      <c r="U13" s="1"/>
      <c r="V13" s="1"/>
      <c r="W13" s="1"/>
      <c r="X13" s="1"/>
      <c r="Y13" s="1"/>
      <c r="Z13" s="1"/>
    </row>
    <row r="14" ht="15.75" customHeight="1">
      <c r="A14" s="93"/>
      <c r="B14" s="3"/>
      <c r="C14" s="91" t="s">
        <v>177</v>
      </c>
      <c r="D14" s="91" t="s">
        <v>177</v>
      </c>
      <c r="E14" s="91" t="s">
        <v>177</v>
      </c>
      <c r="F14" s="3"/>
      <c r="G14" s="1"/>
      <c r="H14" s="1"/>
      <c r="I14" s="1"/>
      <c r="J14" s="1"/>
      <c r="K14" s="1"/>
      <c r="L14" s="1"/>
      <c r="M14" s="1"/>
      <c r="N14" s="1"/>
      <c r="O14" s="1"/>
      <c r="P14" s="1"/>
      <c r="Q14" s="1"/>
      <c r="R14" s="1"/>
      <c r="S14" s="1"/>
      <c r="T14" s="1"/>
      <c r="U14" s="1"/>
      <c r="V14" s="1"/>
      <c r="W14" s="1"/>
      <c r="X14" s="1"/>
      <c r="Y14" s="1"/>
      <c r="Z14" s="1"/>
    </row>
    <row r="15" ht="15.75" customHeight="1">
      <c r="A15" s="93"/>
      <c r="B15" s="3"/>
      <c r="C15" s="3"/>
      <c r="D15" s="3"/>
      <c r="E15" s="3"/>
      <c r="F15" s="3"/>
      <c r="G15" s="1"/>
      <c r="H15" s="1"/>
      <c r="I15" s="1"/>
      <c r="J15" s="1"/>
      <c r="K15" s="1"/>
      <c r="L15" s="1"/>
      <c r="M15" s="1"/>
      <c r="N15" s="1"/>
      <c r="O15" s="1"/>
      <c r="P15" s="1"/>
      <c r="Q15" s="1"/>
      <c r="R15" s="1"/>
      <c r="S15" s="1"/>
      <c r="T15" s="1"/>
      <c r="U15" s="1"/>
      <c r="V15" s="1"/>
      <c r="W15" s="1"/>
      <c r="X15" s="1"/>
      <c r="Y15" s="1"/>
      <c r="Z15" s="1"/>
    </row>
    <row r="16" ht="15.75" customHeight="1">
      <c r="A16" s="93"/>
      <c r="B16" s="3"/>
      <c r="C16" s="3"/>
      <c r="D16" s="3"/>
      <c r="E16" s="3"/>
      <c r="F16" s="3"/>
      <c r="G16" s="1"/>
      <c r="H16" s="1"/>
      <c r="I16" s="1"/>
      <c r="J16" s="1"/>
      <c r="K16" s="1"/>
      <c r="L16" s="1"/>
      <c r="M16" s="1"/>
      <c r="N16" s="1"/>
      <c r="O16" s="1"/>
      <c r="P16" s="1"/>
      <c r="Q16" s="1"/>
      <c r="R16" s="1"/>
      <c r="S16" s="1"/>
      <c r="T16" s="1"/>
      <c r="U16" s="1"/>
      <c r="V16" s="1"/>
      <c r="W16" s="1"/>
      <c r="X16" s="1"/>
      <c r="Y16" s="1"/>
      <c r="Z16" s="1"/>
    </row>
    <row r="17" ht="15.75" customHeight="1">
      <c r="A17" s="93"/>
      <c r="B17" s="3"/>
      <c r="C17" s="3"/>
      <c r="D17" s="3"/>
      <c r="E17" s="3"/>
      <c r="F17" s="3"/>
      <c r="G17" s="1"/>
      <c r="H17" s="1"/>
      <c r="I17" s="1"/>
      <c r="J17" s="1"/>
      <c r="K17" s="1"/>
      <c r="L17" s="1"/>
      <c r="M17" s="1"/>
      <c r="N17" s="1"/>
      <c r="O17" s="1"/>
      <c r="P17" s="1"/>
      <c r="Q17" s="1"/>
      <c r="R17" s="1"/>
      <c r="S17" s="1"/>
      <c r="T17" s="1"/>
      <c r="U17" s="1"/>
      <c r="V17" s="1"/>
      <c r="W17" s="1"/>
      <c r="X17" s="1"/>
      <c r="Y17" s="1"/>
      <c r="Z17" s="1"/>
    </row>
    <row r="18" ht="15.75" customHeight="1">
      <c r="A18" s="93"/>
      <c r="B18" s="12" t="s">
        <v>208</v>
      </c>
      <c r="C18" s="97">
        <v>11500.0</v>
      </c>
      <c r="D18" s="97">
        <v>14000.0</v>
      </c>
      <c r="E18" s="97">
        <v>14000.0</v>
      </c>
      <c r="F18" s="97" t="s">
        <v>60</v>
      </c>
      <c r="G18" s="1"/>
      <c r="H18" s="1"/>
      <c r="I18" s="1"/>
      <c r="J18" s="1"/>
      <c r="K18" s="1"/>
      <c r="L18" s="1"/>
      <c r="M18" s="1"/>
      <c r="N18" s="1"/>
      <c r="O18" s="1"/>
      <c r="P18" s="1"/>
      <c r="Q18" s="1"/>
      <c r="R18" s="1"/>
      <c r="S18" s="1"/>
      <c r="T18" s="1"/>
      <c r="U18" s="1"/>
      <c r="V18" s="1"/>
      <c r="W18" s="1"/>
      <c r="X18" s="1"/>
      <c r="Y18" s="1"/>
      <c r="Z18" s="1"/>
    </row>
    <row r="19" ht="15.75" customHeight="1">
      <c r="A19" s="1"/>
      <c r="B19" s="5"/>
      <c r="C19" s="5"/>
      <c r="D19" s="5"/>
      <c r="E19" s="5"/>
      <c r="F19" s="5"/>
      <c r="G19" s="1"/>
      <c r="H19" s="1"/>
      <c r="I19" s="1"/>
      <c r="J19" s="1"/>
      <c r="K19" s="1"/>
      <c r="L19" s="1"/>
      <c r="M19" s="1"/>
      <c r="N19" s="1"/>
      <c r="O19" s="1"/>
      <c r="P19" s="1"/>
      <c r="Q19" s="1"/>
      <c r="R19" s="1"/>
      <c r="S19" s="1"/>
      <c r="T19" s="1"/>
      <c r="U19" s="1"/>
      <c r="V19" s="1"/>
      <c r="W19" s="1"/>
      <c r="X19" s="1"/>
      <c r="Y19" s="1"/>
      <c r="Z19" s="1"/>
    </row>
    <row r="20" ht="15.75" customHeight="1">
      <c r="A20" s="92" t="s">
        <v>15</v>
      </c>
      <c r="B20" s="98" t="s">
        <v>209</v>
      </c>
      <c r="C20" s="98" t="s">
        <v>210</v>
      </c>
      <c r="D20" s="98" t="s">
        <v>211</v>
      </c>
      <c r="E20" s="98" t="s">
        <v>212</v>
      </c>
      <c r="F20" s="98" t="s">
        <v>213</v>
      </c>
      <c r="G20" s="1"/>
      <c r="H20" s="1"/>
      <c r="I20" s="1"/>
      <c r="J20" s="1"/>
      <c r="K20" s="1"/>
      <c r="L20" s="1"/>
      <c r="M20" s="1"/>
      <c r="N20" s="1"/>
      <c r="O20" s="1"/>
      <c r="P20" s="1"/>
      <c r="Q20" s="1"/>
      <c r="R20" s="1"/>
      <c r="S20" s="1"/>
      <c r="T20" s="1"/>
      <c r="U20" s="1"/>
      <c r="V20" s="1"/>
      <c r="W20" s="1"/>
      <c r="X20" s="1"/>
      <c r="Y20" s="1"/>
      <c r="Z20" s="1"/>
    </row>
    <row r="21" ht="15.75" customHeight="1">
      <c r="A21" s="93"/>
      <c r="B21" s="97"/>
      <c r="C21" s="97"/>
      <c r="D21" s="97"/>
      <c r="E21" s="97"/>
      <c r="F21" s="97"/>
      <c r="G21" s="1"/>
      <c r="H21" s="1"/>
      <c r="I21" s="1"/>
      <c r="J21" s="1"/>
      <c r="K21" s="1"/>
      <c r="L21" s="1"/>
      <c r="M21" s="1"/>
      <c r="N21" s="1"/>
      <c r="O21" s="1"/>
      <c r="P21" s="1"/>
      <c r="Q21" s="1"/>
      <c r="R21" s="1"/>
      <c r="S21" s="1"/>
      <c r="T21" s="1"/>
      <c r="U21" s="1"/>
      <c r="V21" s="1"/>
      <c r="W21" s="1"/>
      <c r="X21" s="1"/>
      <c r="Y21" s="1"/>
      <c r="Z21" s="1"/>
    </row>
    <row r="22" ht="15.75" customHeight="1">
      <c r="A22" s="93"/>
      <c r="B22" s="97" t="s">
        <v>125</v>
      </c>
      <c r="C22" s="97" t="s">
        <v>125</v>
      </c>
      <c r="D22" s="97" t="s">
        <v>125</v>
      </c>
      <c r="E22" s="97" t="s">
        <v>125</v>
      </c>
      <c r="F22" s="97" t="s">
        <v>125</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92" t="s">
        <v>126</v>
      </c>
      <c r="B24" s="16" t="s">
        <v>186</v>
      </c>
      <c r="C24" s="95" t="s">
        <v>187</v>
      </c>
      <c r="D24" s="95" t="s">
        <v>187</v>
      </c>
      <c r="E24" s="95" t="s">
        <v>127</v>
      </c>
      <c r="F24" s="16"/>
      <c r="G24" s="1"/>
      <c r="H24" s="1"/>
      <c r="I24" s="1"/>
      <c r="J24" s="1"/>
      <c r="K24" s="1"/>
      <c r="L24" s="1"/>
      <c r="M24" s="1"/>
      <c r="N24" s="1"/>
      <c r="O24" s="1"/>
      <c r="P24" s="1"/>
      <c r="Q24" s="1"/>
      <c r="R24" s="1"/>
      <c r="S24" s="1"/>
      <c r="T24" s="1"/>
      <c r="U24" s="1"/>
      <c r="V24" s="1"/>
      <c r="W24" s="1"/>
      <c r="X24" s="1"/>
      <c r="Y24" s="1"/>
      <c r="Z24" s="1"/>
    </row>
    <row r="25" ht="15.75" customHeight="1">
      <c r="A25" s="93"/>
      <c r="B25" s="3"/>
      <c r="C25" s="16" t="s">
        <v>129</v>
      </c>
      <c r="D25" s="16" t="s">
        <v>129</v>
      </c>
      <c r="E25" s="16" t="s">
        <v>129</v>
      </c>
      <c r="F25" s="16"/>
      <c r="G25" s="1"/>
      <c r="H25" s="1"/>
      <c r="I25" s="1"/>
      <c r="J25" s="1"/>
      <c r="K25" s="1"/>
      <c r="L25" s="1"/>
      <c r="M25" s="1"/>
      <c r="N25" s="1"/>
      <c r="O25" s="1"/>
      <c r="P25" s="1"/>
      <c r="Q25" s="1"/>
      <c r="R25" s="1"/>
      <c r="S25" s="1"/>
      <c r="T25" s="1"/>
      <c r="U25" s="1"/>
      <c r="V25" s="1"/>
      <c r="W25" s="1"/>
      <c r="X25" s="1"/>
      <c r="Y25" s="1"/>
      <c r="Z25" s="1"/>
    </row>
    <row r="26" ht="15.75" customHeight="1">
      <c r="A26" s="93"/>
      <c r="B26" s="3"/>
      <c r="C26" s="16" t="s">
        <v>130</v>
      </c>
      <c r="D26" s="16" t="s">
        <v>130</v>
      </c>
      <c r="E26" s="16" t="s">
        <v>130</v>
      </c>
      <c r="F26" s="16"/>
      <c r="G26" s="1"/>
      <c r="H26" s="1"/>
      <c r="I26" s="1"/>
      <c r="J26" s="1"/>
      <c r="K26" s="1"/>
      <c r="L26" s="1"/>
      <c r="M26" s="1"/>
      <c r="N26" s="1"/>
      <c r="O26" s="1"/>
      <c r="P26" s="1"/>
      <c r="Q26" s="1"/>
      <c r="R26" s="1"/>
      <c r="S26" s="1"/>
      <c r="T26" s="1"/>
      <c r="U26" s="1"/>
      <c r="V26" s="1"/>
      <c r="W26" s="1"/>
      <c r="X26" s="1"/>
      <c r="Y26" s="1"/>
      <c r="Z26" s="1"/>
    </row>
    <row r="27" ht="15.75" customHeight="1">
      <c r="A27" s="93"/>
      <c r="B27" s="3"/>
      <c r="C27" s="16" t="s">
        <v>131</v>
      </c>
      <c r="D27" s="16" t="s">
        <v>131</v>
      </c>
      <c r="E27" s="16" t="s">
        <v>131</v>
      </c>
      <c r="F27" s="16"/>
      <c r="G27" s="1"/>
      <c r="H27" s="1"/>
      <c r="I27" s="1"/>
      <c r="J27" s="1"/>
      <c r="K27" s="1"/>
      <c r="L27" s="1"/>
      <c r="M27" s="1"/>
      <c r="N27" s="1"/>
      <c r="O27" s="1"/>
      <c r="P27" s="1"/>
      <c r="Q27" s="1"/>
      <c r="R27" s="1"/>
      <c r="S27" s="1"/>
      <c r="T27" s="1"/>
      <c r="U27" s="1"/>
      <c r="V27" s="1"/>
      <c r="W27" s="1"/>
      <c r="X27" s="1"/>
      <c r="Y27" s="1"/>
      <c r="Z27" s="1"/>
    </row>
    <row r="28" ht="15.75" customHeight="1">
      <c r="A28" s="93"/>
      <c r="B28" s="3"/>
      <c r="C28" s="16" t="s">
        <v>132</v>
      </c>
      <c r="D28" s="16" t="s">
        <v>132</v>
      </c>
      <c r="E28" s="16" t="s">
        <v>132</v>
      </c>
      <c r="F28" s="16"/>
      <c r="G28" s="1"/>
      <c r="H28" s="1"/>
      <c r="I28" s="1"/>
      <c r="J28" s="1"/>
      <c r="K28" s="1"/>
      <c r="L28" s="1"/>
      <c r="M28" s="1"/>
      <c r="N28" s="1"/>
      <c r="O28" s="1"/>
      <c r="P28" s="1"/>
      <c r="Q28" s="1"/>
      <c r="R28" s="1"/>
      <c r="S28" s="1"/>
      <c r="T28" s="1"/>
      <c r="U28" s="1"/>
      <c r="V28" s="1"/>
      <c r="W28" s="1"/>
      <c r="X28" s="1"/>
      <c r="Y28" s="1"/>
      <c r="Z28" s="1"/>
    </row>
    <row r="29" ht="15.75" customHeight="1">
      <c r="A29" s="93"/>
      <c r="B29" s="3"/>
      <c r="C29" s="95" t="s">
        <v>188</v>
      </c>
      <c r="D29" s="95" t="s">
        <v>189</v>
      </c>
      <c r="E29" s="95" t="s">
        <v>190</v>
      </c>
      <c r="F29" s="16"/>
      <c r="G29" s="1"/>
      <c r="H29" s="1"/>
      <c r="I29" s="1"/>
      <c r="J29" s="1"/>
      <c r="K29" s="1"/>
      <c r="L29" s="1"/>
      <c r="M29" s="1"/>
      <c r="N29" s="1"/>
      <c r="O29" s="1"/>
      <c r="P29" s="1"/>
      <c r="Q29" s="1"/>
      <c r="R29" s="1"/>
      <c r="S29" s="1"/>
      <c r="T29" s="1"/>
      <c r="U29" s="1"/>
      <c r="V29" s="1"/>
      <c r="W29" s="1"/>
      <c r="X29" s="1"/>
      <c r="Y29" s="1"/>
      <c r="Z29" s="1"/>
    </row>
    <row r="30" ht="15.75" customHeight="1">
      <c r="A30" s="93"/>
      <c r="B30" s="3"/>
      <c r="C30" s="16" t="s">
        <v>134</v>
      </c>
      <c r="D30" s="16" t="s">
        <v>134</v>
      </c>
      <c r="E30" s="16" t="s">
        <v>134</v>
      </c>
      <c r="F30" s="16"/>
      <c r="G30" s="1"/>
      <c r="H30" s="1"/>
      <c r="I30" s="1"/>
      <c r="J30" s="1"/>
      <c r="K30" s="1"/>
      <c r="L30" s="1"/>
      <c r="M30" s="1"/>
      <c r="N30" s="1"/>
      <c r="O30" s="1"/>
      <c r="P30" s="1"/>
      <c r="Q30" s="1"/>
      <c r="R30" s="1"/>
      <c r="S30" s="1"/>
      <c r="T30" s="1"/>
      <c r="U30" s="1"/>
      <c r="V30" s="1"/>
      <c r="W30" s="1"/>
      <c r="X30" s="1"/>
      <c r="Y30" s="1"/>
      <c r="Z30" s="1"/>
    </row>
    <row r="31" ht="15.75" customHeight="1">
      <c r="A31" s="93"/>
      <c r="B31" s="3"/>
      <c r="C31" s="16"/>
      <c r="D31" s="3"/>
      <c r="E31" s="3"/>
      <c r="F31" s="3"/>
      <c r="G31" s="1"/>
      <c r="H31" s="1"/>
      <c r="I31" s="1"/>
      <c r="J31" s="1"/>
      <c r="K31" s="1"/>
      <c r="L31" s="1"/>
      <c r="M31" s="1"/>
      <c r="N31" s="1"/>
      <c r="O31" s="1"/>
      <c r="P31" s="1"/>
      <c r="Q31" s="1"/>
      <c r="R31" s="1"/>
      <c r="S31" s="1"/>
      <c r="T31" s="1"/>
      <c r="U31" s="1"/>
      <c r="V31" s="1"/>
      <c r="W31" s="1"/>
      <c r="X31" s="1"/>
      <c r="Y31" s="1"/>
      <c r="Z31" s="1"/>
    </row>
    <row r="32" ht="15.75" customHeight="1">
      <c r="A32" s="93"/>
      <c r="B32" s="3"/>
      <c r="C32" s="16"/>
      <c r="D32" s="3"/>
      <c r="E32" s="3"/>
      <c r="F32" s="3"/>
      <c r="G32" s="1"/>
      <c r="H32" s="1"/>
      <c r="I32" s="1"/>
      <c r="J32" s="1"/>
      <c r="K32" s="1"/>
      <c r="L32" s="1"/>
      <c r="M32" s="1"/>
      <c r="N32" s="1"/>
      <c r="O32" s="1"/>
      <c r="P32" s="1"/>
      <c r="Q32" s="1"/>
      <c r="R32" s="1"/>
      <c r="S32" s="1"/>
      <c r="T32" s="1"/>
      <c r="U32" s="1"/>
      <c r="V32" s="1"/>
      <c r="W32" s="1"/>
      <c r="X32" s="1"/>
      <c r="Y32" s="1"/>
      <c r="Z32" s="1"/>
    </row>
    <row r="33" ht="15.75" customHeight="1">
      <c r="A33" s="93"/>
      <c r="B33" s="12" t="s">
        <v>208</v>
      </c>
      <c r="C33" s="97" t="s">
        <v>191</v>
      </c>
      <c r="D33" s="97" t="s">
        <v>192</v>
      </c>
      <c r="E33" s="97" t="s">
        <v>193</v>
      </c>
      <c r="F33" s="97">
        <v>25000.0</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194</v>
      </c>
      <c r="D35" s="97" t="s">
        <v>195</v>
      </c>
      <c r="E35" s="97" t="s">
        <v>196</v>
      </c>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00"/>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01"/>
      <c r="G38" s="1"/>
      <c r="H38" s="1"/>
      <c r="I38" s="1"/>
      <c r="J38" s="1"/>
      <c r="K38" s="1"/>
      <c r="L38" s="1"/>
      <c r="M38" s="1"/>
      <c r="N38" s="1"/>
      <c r="O38" s="1"/>
      <c r="P38" s="1"/>
      <c r="Q38" s="1"/>
      <c r="R38" s="1"/>
      <c r="S38" s="1"/>
      <c r="T38" s="1"/>
      <c r="U38" s="1"/>
      <c r="V38" s="1"/>
      <c r="W38" s="1"/>
      <c r="X38" s="1"/>
      <c r="Y38" s="1"/>
      <c r="Z38" s="1"/>
    </row>
    <row r="39" ht="15.75" customHeight="1">
      <c r="A39" s="1"/>
      <c r="B39" s="8" t="s">
        <v>150</v>
      </c>
      <c r="C39" s="8"/>
      <c r="D39" s="8"/>
      <c r="E39" s="8"/>
      <c r="F39" s="8"/>
      <c r="G39" s="1"/>
      <c r="H39" s="1"/>
      <c r="I39" s="1"/>
      <c r="J39" s="1"/>
      <c r="K39" s="1"/>
      <c r="L39" s="1"/>
      <c r="M39" s="1"/>
      <c r="N39" s="1"/>
      <c r="O39" s="1"/>
      <c r="P39" s="1"/>
      <c r="Q39" s="1"/>
      <c r="R39" s="1"/>
      <c r="S39" s="1"/>
      <c r="T39" s="1"/>
      <c r="U39" s="1"/>
      <c r="V39" s="1"/>
      <c r="W39" s="1"/>
      <c r="X39" s="1"/>
      <c r="Y39" s="1"/>
      <c r="Z39" s="1"/>
    </row>
    <row r="40" ht="15.75" customHeight="1">
      <c r="A40" s="1"/>
      <c r="B40" s="8" t="s">
        <v>151</v>
      </c>
      <c r="C40" s="8"/>
      <c r="D40" s="8"/>
      <c r="E40" s="8"/>
      <c r="F40" s="8"/>
      <c r="G40" s="1"/>
      <c r="H40" s="1"/>
      <c r="I40" s="1"/>
      <c r="J40" s="1"/>
      <c r="K40" s="1"/>
      <c r="L40" s="1"/>
      <c r="M40" s="1"/>
      <c r="N40" s="1"/>
      <c r="O40" s="1"/>
      <c r="P40" s="1"/>
      <c r="Q40" s="1"/>
      <c r="R40" s="1"/>
      <c r="S40" s="1"/>
      <c r="T40" s="1"/>
      <c r="U40" s="1"/>
      <c r="V40" s="1"/>
      <c r="W40" s="1"/>
      <c r="X40" s="1"/>
      <c r="Y40" s="1"/>
      <c r="Z40" s="1"/>
    </row>
    <row r="41" ht="15.75" customHeight="1">
      <c r="A41" s="1"/>
      <c r="B41" s="8" t="s">
        <v>152</v>
      </c>
      <c r="C41" s="99"/>
      <c r="D41" s="99" t="s">
        <v>153</v>
      </c>
      <c r="E41" s="8"/>
      <c r="F41" s="8"/>
      <c r="G41" s="1"/>
      <c r="H41" s="1"/>
      <c r="I41" s="1"/>
      <c r="J41" s="1"/>
      <c r="K41" s="1"/>
      <c r="L41" s="1"/>
      <c r="M41" s="1"/>
      <c r="N41" s="1"/>
      <c r="O41" s="1"/>
      <c r="P41" s="1"/>
      <c r="Q41" s="1"/>
      <c r="R41" s="1"/>
      <c r="S41" s="1"/>
      <c r="T41" s="1"/>
      <c r="U41" s="1"/>
      <c r="V41" s="1"/>
      <c r="W41" s="1"/>
      <c r="X41" s="1"/>
      <c r="Y41" s="1"/>
      <c r="Z41" s="1"/>
    </row>
    <row r="42" ht="15.75" customHeight="1">
      <c r="A42" s="1"/>
      <c r="B42" s="103" t="s">
        <v>154</v>
      </c>
      <c r="C42" s="99"/>
      <c r="D42" s="99" t="s">
        <v>155</v>
      </c>
      <c r="E42" s="8"/>
      <c r="F42" s="8"/>
      <c r="G42" s="1"/>
      <c r="H42" s="1"/>
      <c r="I42" s="1"/>
      <c r="J42" s="1"/>
      <c r="K42" s="1"/>
      <c r="L42" s="1"/>
      <c r="M42" s="1"/>
      <c r="N42" s="1"/>
      <c r="O42" s="1"/>
      <c r="P42" s="1"/>
      <c r="Q42" s="1"/>
      <c r="R42" s="1"/>
      <c r="S42" s="1"/>
      <c r="T42" s="1"/>
      <c r="U42" s="1"/>
      <c r="V42" s="1"/>
      <c r="W42" s="1"/>
      <c r="X42" s="1"/>
      <c r="Y42" s="1"/>
      <c r="Z42" s="1"/>
    </row>
    <row r="43" ht="15.75" customHeight="1">
      <c r="A43" s="1"/>
      <c r="B43" s="104" t="s">
        <v>156</v>
      </c>
      <c r="C43" s="99"/>
      <c r="D43" s="99"/>
      <c r="E43" s="8"/>
      <c r="F43" s="8"/>
      <c r="G43" s="1"/>
      <c r="H43" s="1"/>
      <c r="I43" s="1"/>
      <c r="J43" s="1"/>
      <c r="K43" s="1"/>
      <c r="L43" s="1"/>
      <c r="M43" s="1"/>
      <c r="N43" s="1"/>
      <c r="O43" s="1"/>
      <c r="P43" s="1"/>
      <c r="Q43" s="1"/>
      <c r="R43" s="1"/>
      <c r="S43" s="1"/>
      <c r="T43" s="1"/>
      <c r="U43" s="1"/>
      <c r="V43" s="1"/>
      <c r="W43" s="1"/>
      <c r="X43" s="1"/>
      <c r="Y43" s="1"/>
      <c r="Z43" s="1"/>
    </row>
    <row r="44" ht="15.75" customHeight="1">
      <c r="A44" s="1"/>
      <c r="B44" s="8" t="s">
        <v>157</v>
      </c>
      <c r="C44" s="8"/>
      <c r="D44" s="8"/>
      <c r="E44" s="8"/>
      <c r="F44" s="8"/>
      <c r="G44" s="1"/>
      <c r="H44" s="1"/>
      <c r="I44" s="1"/>
      <c r="J44" s="1"/>
      <c r="K44" s="1"/>
      <c r="L44" s="1"/>
      <c r="M44" s="1"/>
      <c r="N44" s="1"/>
      <c r="O44" s="1"/>
      <c r="P44" s="1"/>
      <c r="Q44" s="1"/>
      <c r="R44" s="1"/>
      <c r="S44" s="1"/>
      <c r="T44" s="1"/>
      <c r="U44" s="1"/>
      <c r="V44" s="1"/>
      <c r="W44" s="1"/>
      <c r="X44" s="1"/>
      <c r="Y44" s="1"/>
      <c r="Z44" s="1"/>
    </row>
    <row r="45" ht="15.75" customHeight="1">
      <c r="A45" s="1"/>
      <c r="B45" s="8" t="s">
        <v>158</v>
      </c>
      <c r="C45" s="8"/>
      <c r="D45" s="8"/>
      <c r="E45" s="8"/>
      <c r="F45" s="8"/>
      <c r="G45" s="1"/>
      <c r="H45" s="1"/>
      <c r="I45" s="1"/>
      <c r="J45" s="1"/>
      <c r="K45" s="1"/>
      <c r="L45" s="1"/>
      <c r="M45" s="1"/>
      <c r="N45" s="1"/>
      <c r="O45" s="1"/>
      <c r="P45" s="1"/>
      <c r="Q45" s="1"/>
      <c r="R45" s="1"/>
      <c r="S45" s="1"/>
      <c r="T45" s="1"/>
      <c r="U45" s="1"/>
      <c r="V45" s="1"/>
      <c r="W45" s="1"/>
      <c r="X45" s="1"/>
      <c r="Y45" s="1"/>
      <c r="Z45" s="1"/>
    </row>
    <row r="46" ht="15.75" customHeight="1">
      <c r="A46" s="1"/>
      <c r="B46" s="8" t="s">
        <v>159</v>
      </c>
      <c r="C46" s="8"/>
      <c r="D46" s="8"/>
      <c r="E46" s="8"/>
      <c r="F46" s="8"/>
      <c r="G46" s="1"/>
      <c r="H46" s="1"/>
      <c r="I46" s="1"/>
      <c r="J46" s="1"/>
      <c r="K46" s="1"/>
      <c r="L46" s="1"/>
      <c r="M46" s="1"/>
      <c r="N46" s="1"/>
      <c r="O46" s="1"/>
      <c r="P46" s="1"/>
      <c r="Q46" s="1"/>
      <c r="R46" s="1"/>
      <c r="S46" s="1"/>
      <c r="T46" s="1"/>
      <c r="U46" s="1"/>
      <c r="V46" s="1"/>
      <c r="W46" s="1"/>
      <c r="X46" s="1"/>
      <c r="Y46" s="1"/>
      <c r="Z46" s="1"/>
    </row>
    <row r="47" ht="15.75" customHeight="1">
      <c r="A47" s="1"/>
      <c r="B47" s="8" t="s">
        <v>160</v>
      </c>
      <c r="C47" s="8"/>
      <c r="D47" s="8"/>
      <c r="E47" s="8"/>
      <c r="F47" s="8"/>
      <c r="G47" s="1"/>
      <c r="H47" s="1"/>
      <c r="I47" s="1"/>
      <c r="J47" s="1"/>
      <c r="K47" s="1"/>
      <c r="L47" s="1"/>
      <c r="M47" s="1"/>
      <c r="N47" s="1"/>
      <c r="O47" s="1"/>
      <c r="P47" s="1"/>
      <c r="Q47" s="1"/>
      <c r="R47" s="1"/>
      <c r="S47" s="1"/>
      <c r="T47" s="1"/>
      <c r="U47" s="1"/>
      <c r="V47" s="1"/>
      <c r="W47" s="1"/>
      <c r="X47" s="1"/>
      <c r="Y47" s="1"/>
      <c r="Z47" s="1"/>
    </row>
    <row r="48" ht="15.75" customHeight="1">
      <c r="A48" s="1"/>
      <c r="B48" s="8" t="s">
        <v>161</v>
      </c>
      <c r="C48" s="8"/>
      <c r="D48" s="8"/>
      <c r="E48" s="8"/>
      <c r="F48" s="8"/>
      <c r="G48" s="1"/>
      <c r="H48" s="1"/>
      <c r="I48" s="1"/>
      <c r="J48" s="1"/>
      <c r="K48" s="1"/>
      <c r="L48" s="1"/>
      <c r="M48" s="1"/>
      <c r="N48" s="1"/>
      <c r="O48" s="1"/>
      <c r="P48" s="1"/>
      <c r="Q48" s="1"/>
      <c r="R48" s="1"/>
      <c r="S48" s="1"/>
      <c r="T48" s="1"/>
      <c r="U48" s="1"/>
      <c r="V48" s="1"/>
      <c r="W48" s="1"/>
      <c r="X48" s="1"/>
      <c r="Y48" s="1"/>
      <c r="Z48" s="1"/>
    </row>
    <row r="49" ht="15.75" customHeight="1">
      <c r="A49" s="1"/>
      <c r="B49" s="8" t="s">
        <v>162</v>
      </c>
      <c r="C49" s="8"/>
      <c r="D49" s="60">
        <v>3000.0</v>
      </c>
      <c r="E49" s="8"/>
      <c r="F49" s="8"/>
      <c r="G49" s="1"/>
      <c r="H49" s="1"/>
      <c r="I49" s="1"/>
      <c r="J49" s="1"/>
      <c r="K49" s="1"/>
      <c r="L49" s="1"/>
      <c r="M49" s="1"/>
      <c r="N49" s="1"/>
      <c r="O49" s="1"/>
      <c r="P49" s="1"/>
      <c r="Q49" s="1"/>
      <c r="R49" s="1"/>
      <c r="S49" s="1"/>
      <c r="T49" s="1"/>
      <c r="U49" s="1"/>
      <c r="V49" s="1"/>
      <c r="W49" s="1"/>
      <c r="X49" s="1"/>
      <c r="Y49" s="1"/>
      <c r="Z49" s="1"/>
    </row>
    <row r="50" ht="15.75" customHeight="1">
      <c r="A50" s="1"/>
      <c r="B50" s="8" t="s">
        <v>163</v>
      </c>
      <c r="C50" s="8"/>
      <c r="D50" s="60">
        <v>5000.0</v>
      </c>
      <c r="E50" s="8"/>
      <c r="F50" s="8"/>
      <c r="G50" s="1"/>
      <c r="H50" s="1"/>
      <c r="I50" s="1"/>
      <c r="J50" s="1"/>
      <c r="K50" s="1"/>
      <c r="L50" s="1"/>
      <c r="M50" s="1"/>
      <c r="N50" s="1"/>
      <c r="O50" s="1"/>
      <c r="P50" s="1"/>
      <c r="Q50" s="1"/>
      <c r="R50" s="1"/>
      <c r="S50" s="1"/>
      <c r="T50" s="1"/>
      <c r="U50" s="1"/>
      <c r="V50" s="1"/>
      <c r="W50" s="1"/>
      <c r="X50" s="1"/>
      <c r="Y50" s="1"/>
      <c r="Z50" s="1"/>
    </row>
    <row r="51" ht="15.75" customHeight="1">
      <c r="A51" s="1"/>
      <c r="B51" s="8" t="s">
        <v>197</v>
      </c>
      <c r="C51" s="8"/>
      <c r="D51" s="99"/>
      <c r="E51" s="8"/>
      <c r="F51" s="8"/>
      <c r="G51" s="1"/>
      <c r="H51" s="1"/>
      <c r="I51" s="1"/>
      <c r="J51" s="1"/>
      <c r="K51" s="1"/>
      <c r="L51" s="1"/>
      <c r="M51" s="1"/>
      <c r="N51" s="1"/>
      <c r="O51" s="1"/>
      <c r="P51" s="1"/>
      <c r="Q51" s="1"/>
      <c r="R51" s="1"/>
      <c r="S51" s="1"/>
      <c r="T51" s="1"/>
      <c r="U51" s="1"/>
      <c r="V51" s="1"/>
      <c r="W51" s="1"/>
      <c r="X51" s="1"/>
      <c r="Y51" s="1"/>
      <c r="Z51" s="1"/>
    </row>
    <row r="52" ht="15.75" customHeight="1">
      <c r="A52" s="1"/>
      <c r="B52" s="8" t="s">
        <v>214</v>
      </c>
      <c r="C52" s="8"/>
      <c r="D52" s="8"/>
      <c r="E52" s="8"/>
      <c r="F52" s="8"/>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r:id="rId1" ref="B3"/>
    <hyperlink display="Return to Home" location="TOC!A1" ref="G3"/>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5</v>
      </c>
      <c r="B3" s="3"/>
      <c r="C3" s="17" t="s">
        <v>215</v>
      </c>
      <c r="D3" s="86"/>
      <c r="E3" s="86"/>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48.75" customHeight="1">
      <c r="A7" s="89" t="s">
        <v>107</v>
      </c>
      <c r="B7" s="90" t="s">
        <v>108</v>
      </c>
      <c r="C7" s="91" t="s">
        <v>216</v>
      </c>
      <c r="D7" s="91" t="s">
        <v>217</v>
      </c>
      <c r="E7" s="91" t="s">
        <v>218</v>
      </c>
      <c r="F7" s="9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92" t="s">
        <v>53</v>
      </c>
      <c r="B9" s="90"/>
      <c r="C9" s="95" t="s">
        <v>113</v>
      </c>
      <c r="D9" s="95" t="s">
        <v>113</v>
      </c>
      <c r="E9" s="95" t="s">
        <v>114</v>
      </c>
      <c r="F9" s="16"/>
      <c r="G9" s="1"/>
      <c r="H9" s="1"/>
      <c r="I9" s="1"/>
      <c r="J9" s="1"/>
      <c r="K9" s="1"/>
      <c r="L9" s="1"/>
      <c r="M9" s="1"/>
      <c r="N9" s="1"/>
      <c r="O9" s="1"/>
      <c r="P9" s="1"/>
      <c r="Q9" s="1"/>
      <c r="R9" s="1"/>
      <c r="S9" s="1"/>
      <c r="T9" s="1"/>
      <c r="U9" s="1"/>
      <c r="V9" s="1"/>
      <c r="W9" s="1"/>
      <c r="X9" s="1"/>
      <c r="Y9" s="1"/>
      <c r="Z9" s="1"/>
    </row>
    <row r="10" ht="15.75" customHeight="1">
      <c r="A10" s="93"/>
      <c r="B10" s="94"/>
      <c r="C10" s="95" t="s">
        <v>219</v>
      </c>
      <c r="D10" s="95" t="s">
        <v>219</v>
      </c>
      <c r="E10" s="95" t="s">
        <v>220</v>
      </c>
      <c r="F10" s="16"/>
      <c r="G10" s="1"/>
      <c r="H10" s="1"/>
      <c r="I10" s="1"/>
      <c r="J10" s="1"/>
      <c r="K10" s="1"/>
      <c r="L10" s="1"/>
      <c r="M10" s="1"/>
      <c r="N10" s="1"/>
      <c r="O10" s="1"/>
      <c r="P10" s="1"/>
      <c r="Q10" s="1"/>
      <c r="R10" s="1"/>
      <c r="S10" s="1"/>
      <c r="T10" s="1"/>
      <c r="U10" s="1"/>
      <c r="V10" s="1"/>
      <c r="W10" s="1"/>
      <c r="X10" s="1"/>
      <c r="Y10" s="1"/>
      <c r="Z10" s="1"/>
    </row>
    <row r="11" ht="15.75" customHeight="1">
      <c r="A11" s="93"/>
      <c r="B11" s="94"/>
      <c r="C11" s="95" t="s">
        <v>221</v>
      </c>
      <c r="D11" s="95" t="s">
        <v>222</v>
      </c>
      <c r="E11" s="95" t="s">
        <v>222</v>
      </c>
      <c r="F11" s="16"/>
      <c r="G11" s="1"/>
      <c r="H11" s="1"/>
      <c r="I11" s="1"/>
      <c r="J11" s="1"/>
      <c r="K11" s="1"/>
      <c r="L11" s="1"/>
      <c r="M11" s="1"/>
      <c r="N11" s="1"/>
      <c r="O11" s="1"/>
      <c r="P11" s="1"/>
      <c r="Q11" s="1"/>
      <c r="R11" s="1"/>
      <c r="S11" s="1"/>
      <c r="T11" s="1"/>
      <c r="U11" s="1"/>
      <c r="V11" s="1"/>
      <c r="W11" s="1"/>
      <c r="X11" s="1"/>
      <c r="Y11" s="1"/>
      <c r="Z11" s="1"/>
    </row>
    <row r="12" ht="15.75" customHeight="1">
      <c r="A12" s="93"/>
      <c r="B12" s="94"/>
      <c r="C12" s="16" t="s">
        <v>119</v>
      </c>
      <c r="D12" s="16" t="s">
        <v>119</v>
      </c>
      <c r="E12" s="16" t="s">
        <v>119</v>
      </c>
      <c r="F12" s="16"/>
      <c r="G12" s="1"/>
      <c r="H12" s="1"/>
      <c r="I12" s="1"/>
      <c r="J12" s="1"/>
      <c r="K12" s="1"/>
      <c r="L12" s="1"/>
      <c r="M12" s="1"/>
      <c r="N12" s="1"/>
      <c r="O12" s="1"/>
      <c r="P12" s="1"/>
      <c r="Q12" s="1"/>
      <c r="R12" s="1"/>
      <c r="S12" s="1"/>
      <c r="T12" s="1"/>
      <c r="U12" s="1"/>
      <c r="V12" s="1"/>
      <c r="W12" s="1"/>
      <c r="X12" s="1"/>
      <c r="Y12" s="1"/>
      <c r="Z12" s="1"/>
    </row>
    <row r="13" ht="15.75" customHeight="1">
      <c r="A13" s="93"/>
      <c r="B13" s="94"/>
      <c r="C13" s="16" t="s">
        <v>120</v>
      </c>
      <c r="D13" s="16" t="s">
        <v>120</v>
      </c>
      <c r="E13" s="16" t="s">
        <v>120</v>
      </c>
      <c r="F13" s="16"/>
      <c r="G13" s="1"/>
      <c r="H13" s="1"/>
      <c r="I13" s="1"/>
      <c r="J13" s="1"/>
      <c r="K13" s="1"/>
      <c r="L13" s="1"/>
      <c r="M13" s="1"/>
      <c r="N13" s="1"/>
      <c r="O13" s="1"/>
      <c r="P13" s="1"/>
      <c r="Q13" s="1"/>
      <c r="R13" s="1"/>
      <c r="S13" s="1"/>
      <c r="T13" s="1"/>
      <c r="U13" s="1"/>
      <c r="V13" s="1"/>
      <c r="W13" s="1"/>
      <c r="X13" s="1"/>
      <c r="Y13" s="1"/>
      <c r="Z13" s="1"/>
    </row>
    <row r="14" ht="15.75" customHeight="1">
      <c r="A14" s="93"/>
      <c r="B14" s="94"/>
      <c r="C14" s="3"/>
      <c r="D14" s="3"/>
      <c r="E14" s="3"/>
      <c r="F14" s="3"/>
      <c r="G14" s="1"/>
      <c r="H14" s="1"/>
      <c r="I14" s="1"/>
      <c r="J14" s="1"/>
      <c r="K14" s="1"/>
      <c r="L14" s="1"/>
      <c r="M14" s="1"/>
      <c r="N14" s="1"/>
      <c r="O14" s="1"/>
      <c r="P14" s="1"/>
      <c r="Q14" s="1"/>
      <c r="R14" s="1"/>
      <c r="S14" s="1"/>
      <c r="T14" s="1"/>
      <c r="U14" s="1"/>
      <c r="V14" s="1"/>
      <c r="W14" s="1"/>
      <c r="X14" s="1"/>
      <c r="Y14" s="1"/>
      <c r="Z14" s="1"/>
    </row>
    <row r="15" ht="15.75" customHeight="1">
      <c r="A15" s="93"/>
      <c r="B15" s="94"/>
      <c r="C15" s="3"/>
      <c r="D15" s="3"/>
      <c r="E15" s="3"/>
      <c r="F15" s="3"/>
      <c r="G15" s="1"/>
      <c r="H15" s="1"/>
      <c r="I15" s="1"/>
      <c r="J15" s="1"/>
      <c r="K15" s="1"/>
      <c r="L15" s="1"/>
      <c r="M15" s="1"/>
      <c r="N15" s="1"/>
      <c r="O15" s="1"/>
      <c r="P15" s="1"/>
      <c r="Q15" s="1"/>
      <c r="R15" s="1"/>
      <c r="S15" s="1"/>
      <c r="T15" s="1"/>
      <c r="U15" s="1"/>
      <c r="V15" s="1"/>
      <c r="W15" s="1"/>
      <c r="X15" s="1"/>
      <c r="Y15" s="1"/>
      <c r="Z15" s="1"/>
    </row>
    <row r="16" ht="15.75" customHeight="1">
      <c r="A16" s="93"/>
      <c r="B16" s="94"/>
      <c r="C16" s="3"/>
      <c r="D16" s="3"/>
      <c r="E16" s="3"/>
      <c r="F16" s="3"/>
      <c r="G16" s="1"/>
      <c r="H16" s="1"/>
      <c r="I16" s="1"/>
      <c r="J16" s="1"/>
      <c r="K16" s="1"/>
      <c r="L16" s="1"/>
      <c r="M16" s="1"/>
      <c r="N16" s="1"/>
      <c r="O16" s="1"/>
      <c r="P16" s="1"/>
      <c r="Q16" s="1"/>
      <c r="R16" s="1"/>
      <c r="S16" s="1"/>
      <c r="T16" s="1"/>
      <c r="U16" s="1"/>
      <c r="V16" s="1"/>
      <c r="W16" s="1"/>
      <c r="X16" s="1"/>
      <c r="Y16" s="1"/>
      <c r="Z16" s="1"/>
    </row>
    <row r="17" ht="15.75" customHeight="1">
      <c r="A17" s="93"/>
      <c r="B17" s="94"/>
      <c r="C17" s="3"/>
      <c r="D17" s="3"/>
      <c r="E17" s="3"/>
      <c r="F17" s="3"/>
      <c r="G17" s="1"/>
      <c r="H17" s="1"/>
      <c r="I17" s="1"/>
      <c r="J17" s="1"/>
      <c r="K17" s="1"/>
      <c r="L17" s="1"/>
      <c r="M17" s="1"/>
      <c r="N17" s="1"/>
      <c r="O17" s="1"/>
      <c r="P17" s="1"/>
      <c r="Q17" s="1"/>
      <c r="R17" s="1"/>
      <c r="S17" s="1"/>
      <c r="T17" s="1"/>
      <c r="U17" s="1"/>
      <c r="V17" s="1"/>
      <c r="W17" s="1"/>
      <c r="X17" s="1"/>
      <c r="Y17" s="1"/>
      <c r="Z17" s="1"/>
    </row>
    <row r="18" ht="15.75" customHeight="1">
      <c r="A18" s="93"/>
      <c r="B18" s="96" t="s">
        <v>43</v>
      </c>
      <c r="C18" s="97">
        <v>11500.0</v>
      </c>
      <c r="D18" s="97">
        <v>11500.0</v>
      </c>
      <c r="E18" s="97">
        <v>14000.0</v>
      </c>
      <c r="F18" s="97" t="s">
        <v>60</v>
      </c>
      <c r="G18" s="1"/>
      <c r="H18" s="1"/>
      <c r="I18" s="1"/>
      <c r="J18" s="1"/>
      <c r="K18" s="1"/>
      <c r="L18" s="1"/>
      <c r="M18" s="1"/>
      <c r="N18" s="1"/>
      <c r="O18" s="1"/>
      <c r="P18" s="1"/>
      <c r="Q18" s="1"/>
      <c r="R18" s="1"/>
      <c r="S18" s="1"/>
      <c r="T18" s="1"/>
      <c r="U18" s="1"/>
      <c r="V18" s="1"/>
      <c r="W18" s="1"/>
      <c r="X18" s="1"/>
      <c r="Y18" s="1"/>
      <c r="Z18" s="1"/>
    </row>
    <row r="19" ht="15.75" customHeight="1">
      <c r="A19" s="1"/>
      <c r="B19" s="5"/>
      <c r="C19" s="5"/>
      <c r="D19" s="5"/>
      <c r="E19" s="5"/>
      <c r="F19" s="5"/>
      <c r="G19" s="1"/>
      <c r="H19" s="1"/>
      <c r="I19" s="1"/>
      <c r="J19" s="1"/>
      <c r="K19" s="1"/>
      <c r="L19" s="1"/>
      <c r="M19" s="1"/>
      <c r="N19" s="1"/>
      <c r="O19" s="1"/>
      <c r="P19" s="1"/>
      <c r="Q19" s="1"/>
      <c r="R19" s="1"/>
      <c r="S19" s="1"/>
      <c r="T19" s="1"/>
      <c r="U19" s="1"/>
      <c r="V19" s="1"/>
      <c r="W19" s="1"/>
      <c r="X19" s="1"/>
      <c r="Y19" s="1"/>
      <c r="Z19" s="1"/>
    </row>
    <row r="20" ht="15.75" customHeight="1">
      <c r="A20" s="92" t="s">
        <v>15</v>
      </c>
      <c r="B20" s="90"/>
      <c r="C20" s="98" t="s">
        <v>223</v>
      </c>
      <c r="D20" s="98" t="s">
        <v>223</v>
      </c>
      <c r="E20" s="98" t="s">
        <v>223</v>
      </c>
      <c r="F20" s="98" t="s">
        <v>223</v>
      </c>
      <c r="G20" s="1"/>
      <c r="H20" s="1"/>
      <c r="I20" s="1"/>
      <c r="J20" s="1"/>
      <c r="K20" s="1"/>
      <c r="L20" s="1"/>
      <c r="M20" s="1"/>
      <c r="N20" s="1"/>
      <c r="O20" s="1"/>
      <c r="P20" s="1"/>
      <c r="Q20" s="1"/>
      <c r="R20" s="1"/>
      <c r="S20" s="1"/>
      <c r="T20" s="1"/>
      <c r="U20" s="1"/>
      <c r="V20" s="1"/>
      <c r="W20" s="1"/>
      <c r="X20" s="1"/>
      <c r="Y20" s="1"/>
      <c r="Z20" s="1"/>
    </row>
    <row r="21" ht="15.75" customHeight="1">
      <c r="A21" s="93"/>
      <c r="B21" s="94"/>
      <c r="C21" s="97"/>
      <c r="D21" s="97"/>
      <c r="E21" s="97"/>
      <c r="F21" s="97"/>
      <c r="G21" s="1"/>
      <c r="H21" s="1"/>
      <c r="I21" s="1"/>
      <c r="J21" s="1"/>
      <c r="K21" s="1"/>
      <c r="L21" s="1"/>
      <c r="M21" s="1"/>
      <c r="N21" s="1"/>
      <c r="O21" s="1"/>
      <c r="P21" s="1"/>
      <c r="Q21" s="1"/>
      <c r="R21" s="1"/>
      <c r="S21" s="1"/>
      <c r="T21" s="1"/>
      <c r="U21" s="1"/>
      <c r="V21" s="1"/>
      <c r="W21" s="1"/>
      <c r="X21" s="1"/>
      <c r="Y21" s="1"/>
      <c r="Z21" s="1"/>
    </row>
    <row r="22" ht="15.75" customHeight="1">
      <c r="A22" s="93"/>
      <c r="B22" s="96" t="s">
        <v>43</v>
      </c>
      <c r="C22" s="97" t="s">
        <v>224</v>
      </c>
      <c r="D22" s="97" t="s">
        <v>224</v>
      </c>
      <c r="E22" s="97" t="s">
        <v>224</v>
      </c>
      <c r="F22" s="97" t="s">
        <v>224</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92" t="s">
        <v>126</v>
      </c>
      <c r="B24" s="90"/>
      <c r="C24" s="95" t="s">
        <v>127</v>
      </c>
      <c r="D24" s="95" t="s">
        <v>128</v>
      </c>
      <c r="E24" s="95" t="s">
        <v>128</v>
      </c>
      <c r="F24" s="16"/>
      <c r="G24" s="1"/>
      <c r="H24" s="1"/>
      <c r="I24" s="1"/>
      <c r="J24" s="1"/>
      <c r="K24" s="1"/>
      <c r="L24" s="1"/>
      <c r="M24" s="1"/>
      <c r="N24" s="1"/>
      <c r="O24" s="1"/>
      <c r="P24" s="1"/>
      <c r="Q24" s="1"/>
      <c r="R24" s="1"/>
      <c r="S24" s="1"/>
      <c r="T24" s="1"/>
      <c r="U24" s="1"/>
      <c r="V24" s="1"/>
      <c r="W24" s="1"/>
      <c r="X24" s="1"/>
      <c r="Y24" s="1"/>
      <c r="Z24" s="1"/>
    </row>
    <row r="25" ht="15.75" customHeight="1">
      <c r="A25" s="93"/>
      <c r="B25" s="94"/>
      <c r="C25" s="16" t="s">
        <v>129</v>
      </c>
      <c r="D25" s="16" t="s">
        <v>129</v>
      </c>
      <c r="E25" s="16" t="s">
        <v>129</v>
      </c>
      <c r="F25" s="16"/>
      <c r="G25" s="1"/>
      <c r="H25" s="1"/>
      <c r="I25" s="1"/>
      <c r="J25" s="1"/>
      <c r="K25" s="1"/>
      <c r="L25" s="1"/>
      <c r="M25" s="1"/>
      <c r="N25" s="1"/>
      <c r="O25" s="1"/>
      <c r="P25" s="1"/>
      <c r="Q25" s="1"/>
      <c r="R25" s="1"/>
      <c r="S25" s="1"/>
      <c r="T25" s="1"/>
      <c r="U25" s="1"/>
      <c r="V25" s="1"/>
      <c r="W25" s="1"/>
      <c r="X25" s="1"/>
      <c r="Y25" s="1"/>
      <c r="Z25" s="1"/>
    </row>
    <row r="26" ht="15.75" customHeight="1">
      <c r="A26" s="93"/>
      <c r="B26" s="94"/>
      <c r="C26" s="95" t="s">
        <v>130</v>
      </c>
      <c r="D26" s="95" t="s">
        <v>214</v>
      </c>
      <c r="E26" s="95" t="s">
        <v>214</v>
      </c>
      <c r="F26" s="16"/>
      <c r="G26" s="1"/>
      <c r="H26" s="1"/>
      <c r="I26" s="1"/>
      <c r="J26" s="1"/>
      <c r="K26" s="1"/>
      <c r="L26" s="1"/>
      <c r="M26" s="1"/>
      <c r="N26" s="1"/>
      <c r="O26" s="1"/>
      <c r="P26" s="1"/>
      <c r="Q26" s="1"/>
      <c r="R26" s="1"/>
      <c r="S26" s="1"/>
      <c r="T26" s="1"/>
      <c r="U26" s="1"/>
      <c r="V26" s="1"/>
      <c r="W26" s="1"/>
      <c r="X26" s="1"/>
      <c r="Y26" s="1"/>
      <c r="Z26" s="1"/>
    </row>
    <row r="27" ht="15.75" customHeight="1">
      <c r="A27" s="93"/>
      <c r="B27" s="94"/>
      <c r="C27" s="16" t="s">
        <v>131</v>
      </c>
      <c r="D27" s="16" t="s">
        <v>131</v>
      </c>
      <c r="E27" s="95" t="s">
        <v>225</v>
      </c>
      <c r="F27" s="16"/>
      <c r="G27" s="1"/>
      <c r="H27" s="1"/>
      <c r="I27" s="1"/>
      <c r="J27" s="1"/>
      <c r="K27" s="1"/>
      <c r="L27" s="1"/>
      <c r="M27" s="1"/>
      <c r="N27" s="1"/>
      <c r="O27" s="1"/>
      <c r="P27" s="1"/>
      <c r="Q27" s="1"/>
      <c r="R27" s="1"/>
      <c r="S27" s="1"/>
      <c r="T27" s="1"/>
      <c r="U27" s="1"/>
      <c r="V27" s="1"/>
      <c r="W27" s="1"/>
      <c r="X27" s="1"/>
      <c r="Y27" s="1"/>
      <c r="Z27" s="1"/>
    </row>
    <row r="28" ht="15.75" customHeight="1">
      <c r="A28" s="93"/>
      <c r="B28" s="94"/>
      <c r="C28" s="16" t="s">
        <v>132</v>
      </c>
      <c r="D28" s="16" t="s">
        <v>132</v>
      </c>
      <c r="E28" s="16" t="s">
        <v>132</v>
      </c>
      <c r="F28" s="16"/>
      <c r="G28" s="1"/>
      <c r="H28" s="1"/>
      <c r="I28" s="1"/>
      <c r="J28" s="1"/>
      <c r="K28" s="1"/>
      <c r="L28" s="1"/>
      <c r="M28" s="1"/>
      <c r="N28" s="1"/>
      <c r="O28" s="1"/>
      <c r="P28" s="1"/>
      <c r="Q28" s="1"/>
      <c r="R28" s="1"/>
      <c r="S28" s="1"/>
      <c r="T28" s="1"/>
      <c r="U28" s="1"/>
      <c r="V28" s="1"/>
      <c r="W28" s="1"/>
      <c r="X28" s="1"/>
      <c r="Y28" s="1"/>
      <c r="Z28" s="1"/>
    </row>
    <row r="29" ht="15.75" customHeight="1">
      <c r="A29" s="93"/>
      <c r="B29" s="94"/>
      <c r="C29" s="95" t="s">
        <v>188</v>
      </c>
      <c r="D29" s="95" t="s">
        <v>189</v>
      </c>
      <c r="E29" s="95" t="s">
        <v>190</v>
      </c>
      <c r="F29" s="16"/>
      <c r="G29" s="1"/>
      <c r="H29" s="1"/>
      <c r="I29" s="1"/>
      <c r="J29" s="1"/>
      <c r="K29" s="1"/>
      <c r="L29" s="1"/>
      <c r="M29" s="1"/>
      <c r="N29" s="1"/>
      <c r="O29" s="1"/>
      <c r="P29" s="1"/>
      <c r="Q29" s="1"/>
      <c r="R29" s="1"/>
      <c r="S29" s="1"/>
      <c r="T29" s="1"/>
      <c r="U29" s="1"/>
      <c r="V29" s="1"/>
      <c r="W29" s="1"/>
      <c r="X29" s="1"/>
      <c r="Y29" s="1"/>
      <c r="Z29" s="1"/>
    </row>
    <row r="30" ht="15.75" customHeight="1">
      <c r="A30" s="93"/>
      <c r="B30" s="94"/>
      <c r="C30" s="16" t="s">
        <v>134</v>
      </c>
      <c r="D30" s="16" t="s">
        <v>134</v>
      </c>
      <c r="E30" s="16" t="s">
        <v>134</v>
      </c>
      <c r="F30" s="16"/>
      <c r="G30" s="1"/>
      <c r="H30" s="1"/>
      <c r="I30" s="1"/>
      <c r="J30" s="1"/>
      <c r="K30" s="1"/>
      <c r="L30" s="1"/>
      <c r="M30" s="1"/>
      <c r="N30" s="1"/>
      <c r="O30" s="1"/>
      <c r="P30" s="1"/>
      <c r="Q30" s="1"/>
      <c r="R30" s="1"/>
      <c r="S30" s="1"/>
      <c r="T30" s="1"/>
      <c r="U30" s="1"/>
      <c r="V30" s="1"/>
      <c r="W30" s="1"/>
      <c r="X30" s="1"/>
      <c r="Y30" s="1"/>
      <c r="Z30" s="1"/>
    </row>
    <row r="31" ht="15.75" customHeight="1">
      <c r="A31" s="93"/>
      <c r="B31" s="94"/>
      <c r="C31" s="16" t="s">
        <v>226</v>
      </c>
      <c r="D31" s="16" t="s">
        <v>226</v>
      </c>
      <c r="E31" s="16" t="s">
        <v>226</v>
      </c>
      <c r="F31" s="3"/>
      <c r="G31" s="1"/>
      <c r="H31" s="1"/>
      <c r="I31" s="1"/>
      <c r="J31" s="1"/>
      <c r="K31" s="1"/>
      <c r="L31" s="1"/>
      <c r="M31" s="1"/>
      <c r="N31" s="1"/>
      <c r="O31" s="1"/>
      <c r="P31" s="1"/>
      <c r="Q31" s="1"/>
      <c r="R31" s="1"/>
      <c r="S31" s="1"/>
      <c r="T31" s="1"/>
      <c r="U31" s="1"/>
      <c r="V31" s="1"/>
      <c r="W31" s="1"/>
      <c r="X31" s="1"/>
      <c r="Y31" s="1"/>
      <c r="Z31" s="1"/>
    </row>
    <row r="32" ht="15.75" customHeight="1">
      <c r="A32" s="93"/>
      <c r="B32" s="94"/>
      <c r="C32" s="16"/>
      <c r="D32" s="16"/>
      <c r="E32" s="16"/>
      <c r="F32" s="3"/>
      <c r="G32" s="1"/>
      <c r="H32" s="1"/>
      <c r="I32" s="1"/>
      <c r="J32" s="1"/>
      <c r="K32" s="1"/>
      <c r="L32" s="1"/>
      <c r="M32" s="1"/>
      <c r="N32" s="1"/>
      <c r="O32" s="1"/>
      <c r="P32" s="1"/>
      <c r="Q32" s="1"/>
      <c r="R32" s="1"/>
      <c r="S32" s="1"/>
      <c r="T32" s="1"/>
      <c r="U32" s="1"/>
      <c r="V32" s="1"/>
      <c r="W32" s="1"/>
      <c r="X32" s="1"/>
      <c r="Y32" s="1"/>
      <c r="Z32" s="1"/>
    </row>
    <row r="33" ht="15.75" customHeight="1">
      <c r="A33" s="93"/>
      <c r="B33" s="96" t="s">
        <v>43</v>
      </c>
      <c r="C33" s="97" t="s">
        <v>227</v>
      </c>
      <c r="D33" s="97" t="s">
        <v>228</v>
      </c>
      <c r="E33" s="97" t="s">
        <v>229</v>
      </c>
      <c r="F33" s="97" t="s">
        <v>60</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230</v>
      </c>
      <c r="D35" s="97" t="s">
        <v>231</v>
      </c>
      <c r="E35" s="97" t="s">
        <v>232</v>
      </c>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00"/>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01"/>
      <c r="G38" s="1"/>
      <c r="H38" s="1"/>
      <c r="I38" s="1"/>
      <c r="J38" s="1"/>
      <c r="K38" s="1"/>
      <c r="L38" s="1"/>
      <c r="M38" s="1"/>
      <c r="N38" s="1"/>
      <c r="O38" s="1"/>
      <c r="P38" s="1"/>
      <c r="Q38" s="1"/>
      <c r="R38" s="1"/>
      <c r="S38" s="1"/>
      <c r="T38" s="1"/>
      <c r="U38" s="1"/>
      <c r="V38" s="1"/>
      <c r="W38" s="1"/>
      <c r="X38" s="1"/>
      <c r="Y38" s="1"/>
      <c r="Z38" s="1"/>
    </row>
    <row r="39" ht="15.75" customHeight="1">
      <c r="A39" s="1"/>
      <c r="B39" s="8" t="s">
        <v>91</v>
      </c>
      <c r="C39" s="8"/>
      <c r="D39" s="60">
        <v>3000.0</v>
      </c>
      <c r="E39" s="8"/>
      <c r="F39" s="8"/>
      <c r="G39" s="1"/>
      <c r="H39" s="1"/>
      <c r="I39" s="1"/>
      <c r="J39" s="1"/>
      <c r="K39" s="1"/>
      <c r="L39" s="1"/>
      <c r="M39" s="1"/>
      <c r="N39" s="1"/>
      <c r="O39" s="1"/>
      <c r="P39" s="1"/>
      <c r="Q39" s="1"/>
      <c r="R39" s="1"/>
      <c r="S39" s="1"/>
      <c r="T39" s="1"/>
      <c r="U39" s="1"/>
      <c r="V39" s="1"/>
      <c r="W39" s="1"/>
      <c r="X39" s="1"/>
      <c r="Y39" s="1"/>
      <c r="Z39" s="1"/>
    </row>
    <row r="40" ht="15.75" customHeight="1">
      <c r="A40" s="1"/>
      <c r="B40" s="8" t="s">
        <v>150</v>
      </c>
      <c r="C40" s="8"/>
      <c r="D40" s="8"/>
      <c r="E40" s="8"/>
      <c r="F40" s="8"/>
      <c r="G40" s="1"/>
      <c r="H40" s="1"/>
      <c r="I40" s="1"/>
      <c r="J40" s="1"/>
      <c r="K40" s="1"/>
      <c r="L40" s="1"/>
      <c r="M40" s="1"/>
      <c r="N40" s="1"/>
      <c r="O40" s="1"/>
      <c r="P40" s="1"/>
      <c r="Q40" s="1"/>
      <c r="R40" s="1"/>
      <c r="S40" s="1"/>
      <c r="T40" s="1"/>
      <c r="U40" s="1"/>
      <c r="V40" s="1"/>
      <c r="W40" s="1"/>
      <c r="X40" s="1"/>
      <c r="Y40" s="1"/>
      <c r="Z40" s="1"/>
    </row>
    <row r="41" ht="15.75" customHeight="1">
      <c r="A41" s="1"/>
      <c r="B41" s="8" t="s">
        <v>151</v>
      </c>
      <c r="C41" s="8"/>
      <c r="D41" s="8"/>
      <c r="E41" s="8"/>
      <c r="F41" s="8"/>
      <c r="G41" s="1"/>
      <c r="H41" s="1"/>
      <c r="I41" s="1"/>
      <c r="J41" s="1"/>
      <c r="K41" s="1"/>
      <c r="L41" s="1"/>
      <c r="M41" s="1"/>
      <c r="N41" s="1"/>
      <c r="O41" s="1"/>
      <c r="P41" s="1"/>
      <c r="Q41" s="1"/>
      <c r="R41" s="1"/>
      <c r="S41" s="1"/>
      <c r="T41" s="1"/>
      <c r="U41" s="1"/>
      <c r="V41" s="1"/>
      <c r="W41" s="1"/>
      <c r="X41" s="1"/>
      <c r="Y41" s="1"/>
      <c r="Z41" s="1"/>
    </row>
    <row r="42" ht="15.75" customHeight="1">
      <c r="A42" s="1"/>
      <c r="B42" s="8" t="s">
        <v>152</v>
      </c>
      <c r="C42" s="99"/>
      <c r="D42" s="99" t="s">
        <v>153</v>
      </c>
      <c r="E42" s="99"/>
      <c r="F42" s="8"/>
      <c r="G42" s="1"/>
      <c r="H42" s="1"/>
      <c r="I42" s="1"/>
      <c r="J42" s="1"/>
      <c r="K42" s="1"/>
      <c r="L42" s="1"/>
      <c r="M42" s="1"/>
      <c r="N42" s="1"/>
      <c r="O42" s="1"/>
      <c r="P42" s="1"/>
      <c r="Q42" s="1"/>
      <c r="R42" s="1"/>
      <c r="S42" s="1"/>
      <c r="T42" s="1"/>
      <c r="U42" s="1"/>
      <c r="V42" s="1"/>
      <c r="W42" s="1"/>
      <c r="X42" s="1"/>
      <c r="Y42" s="1"/>
      <c r="Z42" s="1"/>
    </row>
    <row r="43" ht="15.75" customHeight="1">
      <c r="A43" s="1"/>
      <c r="B43" s="103" t="s">
        <v>154</v>
      </c>
      <c r="C43" s="99"/>
      <c r="D43" s="99" t="s">
        <v>155</v>
      </c>
      <c r="E43" s="99"/>
      <c r="F43" s="8"/>
      <c r="G43" s="1"/>
      <c r="H43" s="1"/>
      <c r="I43" s="1"/>
      <c r="J43" s="1"/>
      <c r="K43" s="1"/>
      <c r="L43" s="1"/>
      <c r="M43" s="1"/>
      <c r="N43" s="1"/>
      <c r="O43" s="1"/>
      <c r="P43" s="1"/>
      <c r="Q43" s="1"/>
      <c r="R43" s="1"/>
      <c r="S43" s="1"/>
      <c r="T43" s="1"/>
      <c r="U43" s="1"/>
      <c r="V43" s="1"/>
      <c r="W43" s="1"/>
      <c r="X43" s="1"/>
      <c r="Y43" s="1"/>
      <c r="Z43" s="1"/>
    </row>
    <row r="44" ht="15.75" customHeight="1">
      <c r="A44" s="1"/>
      <c r="B44" s="104" t="s">
        <v>156</v>
      </c>
      <c r="C44" s="99"/>
      <c r="D44" s="99"/>
      <c r="E44" s="99"/>
      <c r="F44" s="8"/>
      <c r="G44" s="1"/>
      <c r="H44" s="1"/>
      <c r="I44" s="1"/>
      <c r="J44" s="1"/>
      <c r="K44" s="1"/>
      <c r="L44" s="1"/>
      <c r="M44" s="1"/>
      <c r="N44" s="1"/>
      <c r="O44" s="1"/>
      <c r="P44" s="1"/>
      <c r="Q44" s="1"/>
      <c r="R44" s="1"/>
      <c r="S44" s="1"/>
      <c r="T44" s="1"/>
      <c r="U44" s="1"/>
      <c r="V44" s="1"/>
      <c r="W44" s="1"/>
      <c r="X44" s="1"/>
      <c r="Y44" s="1"/>
      <c r="Z44" s="1"/>
    </row>
    <row r="45" ht="15.75" customHeight="1">
      <c r="A45" s="1"/>
      <c r="B45" s="8"/>
      <c r="C45" s="8"/>
      <c r="D45" s="8"/>
      <c r="E45" s="8"/>
      <c r="F45" s="8"/>
      <c r="G45" s="1"/>
      <c r="H45" s="1"/>
      <c r="I45" s="1"/>
      <c r="J45" s="1"/>
      <c r="K45" s="1"/>
      <c r="L45" s="1"/>
      <c r="M45" s="1"/>
      <c r="N45" s="1"/>
      <c r="O45" s="1"/>
      <c r="P45" s="1"/>
      <c r="Q45" s="1"/>
      <c r="R45" s="1"/>
      <c r="S45" s="1"/>
      <c r="T45" s="1"/>
      <c r="U45" s="1"/>
      <c r="V45" s="1"/>
      <c r="W45" s="1"/>
      <c r="X45" s="1"/>
      <c r="Y45" s="1"/>
      <c r="Z45" s="1"/>
    </row>
    <row r="46" ht="15.75" customHeight="1">
      <c r="A46" s="1"/>
      <c r="B46" s="8" t="s">
        <v>233</v>
      </c>
      <c r="C46" s="99"/>
      <c r="D46" s="99"/>
      <c r="E46" s="99"/>
      <c r="F46" s="8"/>
      <c r="G46" s="1"/>
      <c r="H46" s="1"/>
      <c r="I46" s="1"/>
      <c r="J46" s="1"/>
      <c r="K46" s="1"/>
      <c r="L46" s="1"/>
      <c r="M46" s="1"/>
      <c r="N46" s="1"/>
      <c r="O46" s="1"/>
      <c r="P46" s="1"/>
      <c r="Q46" s="1"/>
      <c r="R46" s="1"/>
      <c r="S46" s="1"/>
      <c r="T46" s="1"/>
      <c r="U46" s="1"/>
      <c r="V46" s="1"/>
      <c r="W46" s="1"/>
      <c r="X46" s="1"/>
      <c r="Y46" s="1"/>
      <c r="Z46" s="1"/>
    </row>
    <row r="47" ht="15.75" customHeight="1">
      <c r="A47" s="1"/>
      <c r="B47" s="8" t="s">
        <v>157</v>
      </c>
      <c r="C47" s="8"/>
      <c r="D47" s="8"/>
      <c r="E47" s="8"/>
      <c r="F47" s="8"/>
      <c r="G47" s="1"/>
      <c r="H47" s="1"/>
      <c r="I47" s="1"/>
      <c r="J47" s="1"/>
      <c r="K47" s="1"/>
      <c r="L47" s="1"/>
      <c r="M47" s="1"/>
      <c r="N47" s="1"/>
      <c r="O47" s="1"/>
      <c r="P47" s="1"/>
      <c r="Q47" s="1"/>
      <c r="R47" s="1"/>
      <c r="S47" s="1"/>
      <c r="T47" s="1"/>
      <c r="U47" s="1"/>
      <c r="V47" s="1"/>
      <c r="W47" s="1"/>
      <c r="X47" s="1"/>
      <c r="Y47" s="1"/>
      <c r="Z47" s="1"/>
    </row>
    <row r="48" ht="15.75" customHeight="1">
      <c r="A48" s="1"/>
      <c r="B48" s="8" t="s">
        <v>158</v>
      </c>
      <c r="C48" s="8"/>
      <c r="D48" s="8"/>
      <c r="E48" s="8"/>
      <c r="F48" s="8"/>
      <c r="G48" s="1"/>
      <c r="H48" s="1"/>
      <c r="I48" s="1"/>
      <c r="J48" s="1"/>
      <c r="K48" s="1"/>
      <c r="L48" s="1"/>
      <c r="M48" s="1"/>
      <c r="N48" s="1"/>
      <c r="O48" s="1"/>
      <c r="P48" s="1"/>
      <c r="Q48" s="1"/>
      <c r="R48" s="1"/>
      <c r="S48" s="1"/>
      <c r="T48" s="1"/>
      <c r="U48" s="1"/>
      <c r="V48" s="1"/>
      <c r="W48" s="1"/>
      <c r="X48" s="1"/>
      <c r="Y48" s="1"/>
      <c r="Z48" s="1"/>
    </row>
    <row r="49" ht="15.75" customHeight="1">
      <c r="A49" s="1"/>
      <c r="B49" s="8" t="s">
        <v>234</v>
      </c>
      <c r="C49" s="8"/>
      <c r="D49" s="8"/>
      <c r="E49" s="8"/>
      <c r="F49" s="8"/>
      <c r="G49" s="1"/>
      <c r="H49" s="1"/>
      <c r="I49" s="1"/>
      <c r="J49" s="1"/>
      <c r="K49" s="1"/>
      <c r="L49" s="1"/>
      <c r="M49" s="1"/>
      <c r="N49" s="1"/>
      <c r="O49" s="1"/>
      <c r="P49" s="1"/>
      <c r="Q49" s="1"/>
      <c r="R49" s="1"/>
      <c r="S49" s="1"/>
      <c r="T49" s="1"/>
      <c r="U49" s="1"/>
      <c r="V49" s="1"/>
      <c r="W49" s="1"/>
      <c r="X49" s="1"/>
      <c r="Y49" s="1"/>
      <c r="Z49" s="1"/>
    </row>
    <row r="50" ht="15.75" customHeight="1">
      <c r="A50" s="1"/>
      <c r="B50" s="8" t="s">
        <v>235</v>
      </c>
      <c r="C50" s="8"/>
      <c r="D50" s="8"/>
      <c r="E50" s="8"/>
      <c r="F50" s="8"/>
      <c r="G50" s="1"/>
      <c r="H50" s="1"/>
      <c r="I50" s="1"/>
      <c r="J50" s="1"/>
      <c r="K50" s="1"/>
      <c r="L50" s="1"/>
      <c r="M50" s="1"/>
      <c r="N50" s="1"/>
      <c r="O50" s="1"/>
      <c r="P50" s="1"/>
      <c r="Q50" s="1"/>
      <c r="R50" s="1"/>
      <c r="S50" s="1"/>
      <c r="T50" s="1"/>
      <c r="U50" s="1"/>
      <c r="V50" s="1"/>
      <c r="W50" s="1"/>
      <c r="X50" s="1"/>
      <c r="Y50" s="1"/>
      <c r="Z50" s="1"/>
    </row>
    <row r="51" ht="15.75" customHeight="1">
      <c r="A51" s="1"/>
      <c r="B51" s="8" t="s">
        <v>159</v>
      </c>
      <c r="C51" s="8"/>
      <c r="D51" s="8"/>
      <c r="E51" s="8"/>
      <c r="F51" s="8"/>
      <c r="G51" s="1"/>
      <c r="H51" s="1"/>
      <c r="I51" s="1"/>
      <c r="J51" s="1"/>
      <c r="K51" s="1"/>
      <c r="L51" s="1"/>
      <c r="M51" s="1"/>
      <c r="N51" s="1"/>
      <c r="O51" s="1"/>
      <c r="P51" s="1"/>
      <c r="Q51" s="1"/>
      <c r="R51" s="1"/>
      <c r="S51" s="1"/>
      <c r="T51" s="1"/>
      <c r="U51" s="1"/>
      <c r="V51" s="1"/>
      <c r="W51" s="1"/>
      <c r="X51" s="1"/>
      <c r="Y51" s="1"/>
      <c r="Z51" s="1"/>
    </row>
    <row r="52" ht="15.75" customHeight="1">
      <c r="A52" s="1"/>
      <c r="B52" s="8" t="s">
        <v>160</v>
      </c>
      <c r="C52" s="8"/>
      <c r="D52" s="8"/>
      <c r="E52" s="8"/>
      <c r="F52" s="8"/>
      <c r="G52" s="1"/>
      <c r="H52" s="1"/>
      <c r="I52" s="1"/>
      <c r="J52" s="1"/>
      <c r="K52" s="1"/>
      <c r="L52" s="1"/>
      <c r="M52" s="1"/>
      <c r="N52" s="1"/>
      <c r="O52" s="1"/>
      <c r="P52" s="1"/>
      <c r="Q52" s="1"/>
      <c r="R52" s="1"/>
      <c r="S52" s="1"/>
      <c r="T52" s="1"/>
      <c r="U52" s="1"/>
      <c r="V52" s="1"/>
      <c r="W52" s="1"/>
      <c r="X52" s="1"/>
      <c r="Y52" s="1"/>
      <c r="Z52" s="1"/>
    </row>
    <row r="53" ht="15.75" customHeight="1">
      <c r="A53" s="1"/>
      <c r="B53" s="8" t="s">
        <v>161</v>
      </c>
      <c r="C53" s="8"/>
      <c r="D53" s="8"/>
      <c r="E53" s="8"/>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display="Return to Home" location="TOC!A1" ref="G3"/>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236</v>
      </c>
      <c r="B3" s="3"/>
      <c r="C3" s="17" t="s">
        <v>146</v>
      </c>
      <c r="D3" s="86"/>
      <c r="E3" s="86"/>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30.75" customHeight="1">
      <c r="A7" s="89" t="s">
        <v>107</v>
      </c>
      <c r="B7" s="90" t="s">
        <v>108</v>
      </c>
      <c r="C7" s="91" t="s">
        <v>109</v>
      </c>
      <c r="D7" s="91" t="s">
        <v>110</v>
      </c>
      <c r="E7" s="91" t="s">
        <v>111</v>
      </c>
      <c r="F7" s="9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92" t="s">
        <v>53</v>
      </c>
      <c r="B9" s="90"/>
      <c r="C9" s="95" t="s">
        <v>112</v>
      </c>
      <c r="D9" s="95" t="s">
        <v>113</v>
      </c>
      <c r="E9" s="95" t="s">
        <v>114</v>
      </c>
      <c r="F9" s="16"/>
      <c r="G9" s="1"/>
      <c r="H9" s="1"/>
      <c r="I9" s="1"/>
      <c r="J9" s="1"/>
      <c r="K9" s="1"/>
      <c r="L9" s="1"/>
      <c r="M9" s="1"/>
      <c r="N9" s="1"/>
      <c r="O9" s="1"/>
      <c r="P9" s="1"/>
      <c r="Q9" s="1"/>
      <c r="R9" s="1"/>
      <c r="S9" s="1"/>
      <c r="T9" s="1"/>
      <c r="U9" s="1"/>
      <c r="V9" s="1"/>
      <c r="W9" s="1"/>
      <c r="X9" s="1"/>
      <c r="Y9" s="1"/>
      <c r="Z9" s="1"/>
    </row>
    <row r="10" ht="15.75" customHeight="1">
      <c r="A10" s="93"/>
      <c r="B10" s="94"/>
      <c r="C10" s="95" t="s">
        <v>219</v>
      </c>
      <c r="D10" s="95" t="s">
        <v>219</v>
      </c>
      <c r="E10" s="95" t="s">
        <v>220</v>
      </c>
      <c r="F10" s="16"/>
      <c r="G10" s="1"/>
      <c r="H10" s="1"/>
      <c r="I10" s="1"/>
      <c r="J10" s="1"/>
      <c r="K10" s="1"/>
      <c r="L10" s="1"/>
      <c r="M10" s="1"/>
      <c r="N10" s="1"/>
      <c r="O10" s="1"/>
      <c r="P10" s="1"/>
      <c r="Q10" s="1"/>
      <c r="R10" s="1"/>
      <c r="S10" s="1"/>
      <c r="T10" s="1"/>
      <c r="U10" s="1"/>
      <c r="V10" s="1"/>
      <c r="W10" s="1"/>
      <c r="X10" s="1"/>
      <c r="Y10" s="1"/>
      <c r="Z10" s="1"/>
    </row>
    <row r="11" ht="15.75" customHeight="1">
      <c r="A11" s="93"/>
      <c r="B11" s="94"/>
      <c r="C11" s="95" t="s">
        <v>117</v>
      </c>
      <c r="D11" s="95" t="s">
        <v>118</v>
      </c>
      <c r="E11" s="95" t="s">
        <v>118</v>
      </c>
      <c r="F11" s="16"/>
      <c r="G11" s="1"/>
      <c r="H11" s="1"/>
      <c r="I11" s="1"/>
      <c r="J11" s="1"/>
      <c r="K11" s="1"/>
      <c r="L11" s="1"/>
      <c r="M11" s="1"/>
      <c r="N11" s="1"/>
      <c r="O11" s="1"/>
      <c r="P11" s="1"/>
      <c r="Q11" s="1"/>
      <c r="R11" s="1"/>
      <c r="S11" s="1"/>
      <c r="T11" s="1"/>
      <c r="U11" s="1"/>
      <c r="V11" s="1"/>
      <c r="W11" s="1"/>
      <c r="X11" s="1"/>
      <c r="Y11" s="1"/>
      <c r="Z11" s="1"/>
    </row>
    <row r="12" ht="15.75" customHeight="1">
      <c r="A12" s="93"/>
      <c r="B12" s="94"/>
      <c r="C12" s="16" t="s">
        <v>119</v>
      </c>
      <c r="D12" s="16" t="s">
        <v>119</v>
      </c>
      <c r="E12" s="16" t="s">
        <v>119</v>
      </c>
      <c r="F12" s="16"/>
      <c r="G12" s="1"/>
      <c r="H12" s="1"/>
      <c r="I12" s="1"/>
      <c r="J12" s="1"/>
      <c r="K12" s="1"/>
      <c r="L12" s="1"/>
      <c r="M12" s="1"/>
      <c r="N12" s="1"/>
      <c r="O12" s="1"/>
      <c r="P12" s="1"/>
      <c r="Q12" s="1"/>
      <c r="R12" s="1"/>
      <c r="S12" s="1"/>
      <c r="T12" s="1"/>
      <c r="U12" s="1"/>
      <c r="V12" s="1"/>
      <c r="W12" s="1"/>
      <c r="X12" s="1"/>
      <c r="Y12" s="1"/>
      <c r="Z12" s="1"/>
    </row>
    <row r="13" ht="15.75" customHeight="1">
      <c r="A13" s="93"/>
      <c r="B13" s="94"/>
      <c r="C13" s="16" t="s">
        <v>120</v>
      </c>
      <c r="D13" s="16" t="s">
        <v>120</v>
      </c>
      <c r="E13" s="16" t="s">
        <v>120</v>
      </c>
      <c r="F13" s="16"/>
      <c r="G13" s="1"/>
      <c r="H13" s="1"/>
      <c r="I13" s="1"/>
      <c r="J13" s="1"/>
      <c r="K13" s="1"/>
      <c r="L13" s="1"/>
      <c r="M13" s="1"/>
      <c r="N13" s="1"/>
      <c r="O13" s="1"/>
      <c r="P13" s="1"/>
      <c r="Q13" s="1"/>
      <c r="R13" s="1"/>
      <c r="S13" s="1"/>
      <c r="T13" s="1"/>
      <c r="U13" s="1"/>
      <c r="V13" s="1"/>
      <c r="W13" s="1"/>
      <c r="X13" s="1"/>
      <c r="Y13" s="1"/>
      <c r="Z13" s="1"/>
    </row>
    <row r="14" ht="15.75" customHeight="1">
      <c r="A14" s="93"/>
      <c r="B14" s="94"/>
      <c r="C14" s="3"/>
      <c r="D14" s="3"/>
      <c r="E14" s="3"/>
      <c r="F14" s="3"/>
      <c r="G14" s="1"/>
      <c r="H14" s="1"/>
      <c r="I14" s="1"/>
      <c r="J14" s="1"/>
      <c r="K14" s="1"/>
      <c r="L14" s="1"/>
      <c r="M14" s="1"/>
      <c r="N14" s="1"/>
      <c r="O14" s="1"/>
      <c r="P14" s="1"/>
      <c r="Q14" s="1"/>
      <c r="R14" s="1"/>
      <c r="S14" s="1"/>
      <c r="T14" s="1"/>
      <c r="U14" s="1"/>
      <c r="V14" s="1"/>
      <c r="W14" s="1"/>
      <c r="X14" s="1"/>
      <c r="Y14" s="1"/>
      <c r="Z14" s="1"/>
    </row>
    <row r="15" ht="15.75" customHeight="1">
      <c r="A15" s="93"/>
      <c r="B15" s="94"/>
      <c r="C15" s="3"/>
      <c r="D15" s="3"/>
      <c r="E15" s="3"/>
      <c r="F15" s="3"/>
      <c r="G15" s="1"/>
      <c r="H15" s="1"/>
      <c r="I15" s="1"/>
      <c r="J15" s="1"/>
      <c r="K15" s="1"/>
      <c r="L15" s="1"/>
      <c r="M15" s="1"/>
      <c r="N15" s="1"/>
      <c r="O15" s="1"/>
      <c r="P15" s="1"/>
      <c r="Q15" s="1"/>
      <c r="R15" s="1"/>
      <c r="S15" s="1"/>
      <c r="T15" s="1"/>
      <c r="U15" s="1"/>
      <c r="V15" s="1"/>
      <c r="W15" s="1"/>
      <c r="X15" s="1"/>
      <c r="Y15" s="1"/>
      <c r="Z15" s="1"/>
    </row>
    <row r="16" ht="15.75" customHeight="1">
      <c r="A16" s="93"/>
      <c r="B16" s="94"/>
      <c r="C16" s="3"/>
      <c r="D16" s="3"/>
      <c r="E16" s="3"/>
      <c r="F16" s="3"/>
      <c r="G16" s="1"/>
      <c r="H16" s="1"/>
      <c r="I16" s="1"/>
      <c r="J16" s="1"/>
      <c r="K16" s="1"/>
      <c r="L16" s="1"/>
      <c r="M16" s="1"/>
      <c r="N16" s="1"/>
      <c r="O16" s="1"/>
      <c r="P16" s="1"/>
      <c r="Q16" s="1"/>
      <c r="R16" s="1"/>
      <c r="S16" s="1"/>
      <c r="T16" s="1"/>
      <c r="U16" s="1"/>
      <c r="V16" s="1"/>
      <c r="W16" s="1"/>
      <c r="X16" s="1"/>
      <c r="Y16" s="1"/>
      <c r="Z16" s="1"/>
    </row>
    <row r="17" ht="15.75" customHeight="1">
      <c r="A17" s="93"/>
      <c r="B17" s="94"/>
      <c r="C17" s="3"/>
      <c r="D17" s="3"/>
      <c r="E17" s="3"/>
      <c r="F17" s="3"/>
      <c r="G17" s="1"/>
      <c r="H17" s="1"/>
      <c r="I17" s="1"/>
      <c r="J17" s="1"/>
      <c r="K17" s="1"/>
      <c r="L17" s="1"/>
      <c r="M17" s="1"/>
      <c r="N17" s="1"/>
      <c r="O17" s="1"/>
      <c r="P17" s="1"/>
      <c r="Q17" s="1"/>
      <c r="R17" s="1"/>
      <c r="S17" s="1"/>
      <c r="T17" s="1"/>
      <c r="U17" s="1"/>
      <c r="V17" s="1"/>
      <c r="W17" s="1"/>
      <c r="X17" s="1"/>
      <c r="Y17" s="1"/>
      <c r="Z17" s="1"/>
    </row>
    <row r="18" ht="15.75" customHeight="1">
      <c r="A18" s="93"/>
      <c r="B18" s="96" t="s">
        <v>43</v>
      </c>
      <c r="C18" s="97">
        <v>8000.0</v>
      </c>
      <c r="D18" s="97">
        <v>11500.0</v>
      </c>
      <c r="E18" s="97">
        <v>14000.0</v>
      </c>
      <c r="F18" s="97" t="s">
        <v>60</v>
      </c>
      <c r="G18" s="1"/>
      <c r="H18" s="1"/>
      <c r="I18" s="1"/>
      <c r="J18" s="1"/>
      <c r="K18" s="1"/>
      <c r="L18" s="1"/>
      <c r="M18" s="1"/>
      <c r="N18" s="1"/>
      <c r="O18" s="1"/>
      <c r="P18" s="1"/>
      <c r="Q18" s="1"/>
      <c r="R18" s="1"/>
      <c r="S18" s="1"/>
      <c r="T18" s="1"/>
      <c r="U18" s="1"/>
      <c r="V18" s="1"/>
      <c r="W18" s="1"/>
      <c r="X18" s="1"/>
      <c r="Y18" s="1"/>
      <c r="Z18" s="1"/>
    </row>
    <row r="19" ht="15.75" customHeight="1">
      <c r="A19" s="1"/>
      <c r="B19" s="5"/>
      <c r="C19" s="5"/>
      <c r="D19" s="5"/>
      <c r="E19" s="5"/>
      <c r="F19" s="5"/>
      <c r="G19" s="1"/>
      <c r="H19" s="1"/>
      <c r="I19" s="1"/>
      <c r="J19" s="1"/>
      <c r="K19" s="1"/>
      <c r="L19" s="1"/>
      <c r="M19" s="1"/>
      <c r="N19" s="1"/>
      <c r="O19" s="1"/>
      <c r="P19" s="1"/>
      <c r="Q19" s="1"/>
      <c r="R19" s="1"/>
      <c r="S19" s="1"/>
      <c r="T19" s="1"/>
      <c r="U19" s="1"/>
      <c r="V19" s="1"/>
      <c r="W19" s="1"/>
      <c r="X19" s="1"/>
      <c r="Y19" s="1"/>
      <c r="Z19" s="1"/>
    </row>
    <row r="20" ht="15.75" customHeight="1">
      <c r="A20" s="92" t="s">
        <v>15</v>
      </c>
      <c r="B20" s="90"/>
      <c r="C20" s="98" t="s">
        <v>237</v>
      </c>
      <c r="D20" s="98" t="s">
        <v>238</v>
      </c>
      <c r="E20" s="98" t="s">
        <v>239</v>
      </c>
      <c r="F20" s="98" t="s">
        <v>240</v>
      </c>
      <c r="G20" s="1"/>
      <c r="H20" s="1"/>
      <c r="I20" s="1"/>
      <c r="J20" s="1"/>
      <c r="K20" s="1"/>
      <c r="L20" s="1"/>
      <c r="M20" s="1"/>
      <c r="N20" s="1"/>
      <c r="O20" s="1"/>
      <c r="P20" s="1"/>
      <c r="Q20" s="1"/>
      <c r="R20" s="1"/>
      <c r="S20" s="1"/>
      <c r="T20" s="1"/>
      <c r="U20" s="1"/>
      <c r="V20" s="1"/>
      <c r="W20" s="1"/>
      <c r="X20" s="1"/>
      <c r="Y20" s="1"/>
      <c r="Z20" s="1"/>
    </row>
    <row r="21" ht="15.75" customHeight="1">
      <c r="A21" s="93"/>
      <c r="B21" s="94"/>
      <c r="C21" s="97"/>
      <c r="D21" s="97"/>
      <c r="E21" s="97"/>
      <c r="F21" s="97"/>
      <c r="G21" s="1"/>
      <c r="H21" s="1"/>
      <c r="I21" s="1"/>
      <c r="J21" s="1"/>
      <c r="K21" s="1"/>
      <c r="L21" s="1"/>
      <c r="M21" s="1"/>
      <c r="N21" s="1"/>
      <c r="O21" s="1"/>
      <c r="P21" s="1"/>
      <c r="Q21" s="1"/>
      <c r="R21" s="1"/>
      <c r="S21" s="1"/>
      <c r="T21" s="1"/>
      <c r="U21" s="1"/>
      <c r="V21" s="1"/>
      <c r="W21" s="1"/>
      <c r="X21" s="1"/>
      <c r="Y21" s="1"/>
      <c r="Z21" s="1"/>
    </row>
    <row r="22" ht="15.75" customHeight="1">
      <c r="A22" s="93"/>
      <c r="B22" s="96" t="s">
        <v>43</v>
      </c>
      <c r="C22" s="97" t="s">
        <v>125</v>
      </c>
      <c r="D22" s="97" t="s">
        <v>125</v>
      </c>
      <c r="E22" s="97" t="s">
        <v>125</v>
      </c>
      <c r="F22" s="97" t="s">
        <v>125</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92" t="s">
        <v>126</v>
      </c>
      <c r="B24" s="90"/>
      <c r="C24" s="95" t="s">
        <v>187</v>
      </c>
      <c r="D24" s="95" t="s">
        <v>127</v>
      </c>
      <c r="E24" s="95" t="s">
        <v>128</v>
      </c>
      <c r="F24" s="16"/>
      <c r="G24" s="1"/>
      <c r="H24" s="1"/>
      <c r="I24" s="1"/>
      <c r="J24" s="1"/>
      <c r="K24" s="1"/>
      <c r="L24" s="1"/>
      <c r="M24" s="1"/>
      <c r="N24" s="1"/>
      <c r="O24" s="1"/>
      <c r="P24" s="1"/>
      <c r="Q24" s="1"/>
      <c r="R24" s="1"/>
      <c r="S24" s="1"/>
      <c r="T24" s="1"/>
      <c r="U24" s="1"/>
      <c r="V24" s="1"/>
      <c r="W24" s="1"/>
      <c r="X24" s="1"/>
      <c r="Y24" s="1"/>
      <c r="Z24" s="1"/>
    </row>
    <row r="25" ht="15.75" customHeight="1">
      <c r="A25" s="93"/>
      <c r="B25" s="94"/>
      <c r="C25" s="16" t="s">
        <v>129</v>
      </c>
      <c r="D25" s="16" t="s">
        <v>129</v>
      </c>
      <c r="E25" s="16" t="s">
        <v>129</v>
      </c>
      <c r="F25" s="16"/>
      <c r="G25" s="1"/>
      <c r="H25" s="1"/>
      <c r="I25" s="1"/>
      <c r="J25" s="1"/>
      <c r="K25" s="1"/>
      <c r="L25" s="1"/>
      <c r="M25" s="1"/>
      <c r="N25" s="1"/>
      <c r="O25" s="1"/>
      <c r="P25" s="1"/>
      <c r="Q25" s="1"/>
      <c r="R25" s="1"/>
      <c r="S25" s="1"/>
      <c r="T25" s="1"/>
      <c r="U25" s="1"/>
      <c r="V25" s="1"/>
      <c r="W25" s="1"/>
      <c r="X25" s="1"/>
      <c r="Y25" s="1"/>
      <c r="Z25" s="1"/>
    </row>
    <row r="26" ht="15.75" customHeight="1">
      <c r="A26" s="93"/>
      <c r="B26" s="94"/>
      <c r="C26" s="16" t="s">
        <v>130</v>
      </c>
      <c r="D26" s="16" t="s">
        <v>130</v>
      </c>
      <c r="E26" s="16" t="s">
        <v>130</v>
      </c>
      <c r="F26" s="16"/>
      <c r="G26" s="1"/>
      <c r="H26" s="1"/>
      <c r="I26" s="1"/>
      <c r="J26" s="1"/>
      <c r="K26" s="1"/>
      <c r="L26" s="1"/>
      <c r="M26" s="1"/>
      <c r="N26" s="1"/>
      <c r="O26" s="1"/>
      <c r="P26" s="1"/>
      <c r="Q26" s="1"/>
      <c r="R26" s="1"/>
      <c r="S26" s="1"/>
      <c r="T26" s="1"/>
      <c r="U26" s="1"/>
      <c r="V26" s="1"/>
      <c r="W26" s="1"/>
      <c r="X26" s="1"/>
      <c r="Y26" s="1"/>
      <c r="Z26" s="1"/>
    </row>
    <row r="27" ht="15.75" customHeight="1">
      <c r="A27" s="93"/>
      <c r="B27" s="94"/>
      <c r="C27" s="16" t="s">
        <v>131</v>
      </c>
      <c r="D27" s="16" t="s">
        <v>131</v>
      </c>
      <c r="E27" s="16" t="s">
        <v>131</v>
      </c>
      <c r="F27" s="16"/>
      <c r="G27" s="1"/>
      <c r="H27" s="1"/>
      <c r="I27" s="1"/>
      <c r="J27" s="1"/>
      <c r="K27" s="1"/>
      <c r="L27" s="1"/>
      <c r="M27" s="1"/>
      <c r="N27" s="1"/>
      <c r="O27" s="1"/>
      <c r="P27" s="1"/>
      <c r="Q27" s="1"/>
      <c r="R27" s="1"/>
      <c r="S27" s="1"/>
      <c r="T27" s="1"/>
      <c r="U27" s="1"/>
      <c r="V27" s="1"/>
      <c r="W27" s="1"/>
      <c r="X27" s="1"/>
      <c r="Y27" s="1"/>
      <c r="Z27" s="1"/>
    </row>
    <row r="28" ht="15.75" customHeight="1">
      <c r="A28" s="93"/>
      <c r="B28" s="94"/>
      <c r="C28" s="16" t="s">
        <v>132</v>
      </c>
      <c r="D28" s="16" t="s">
        <v>132</v>
      </c>
      <c r="E28" s="16" t="s">
        <v>132</v>
      </c>
      <c r="F28" s="16"/>
      <c r="G28" s="1"/>
      <c r="H28" s="1"/>
      <c r="I28" s="1"/>
      <c r="J28" s="1"/>
      <c r="K28" s="1"/>
      <c r="L28" s="1"/>
      <c r="M28" s="1"/>
      <c r="N28" s="1"/>
      <c r="O28" s="1"/>
      <c r="P28" s="1"/>
      <c r="Q28" s="1"/>
      <c r="R28" s="1"/>
      <c r="S28" s="1"/>
      <c r="T28" s="1"/>
      <c r="U28" s="1"/>
      <c r="V28" s="1"/>
      <c r="W28" s="1"/>
      <c r="X28" s="1"/>
      <c r="Y28" s="1"/>
      <c r="Z28" s="1"/>
    </row>
    <row r="29" ht="15.75" customHeight="1">
      <c r="A29" s="93"/>
      <c r="B29" s="94"/>
      <c r="C29" s="16" t="s">
        <v>133</v>
      </c>
      <c r="D29" s="16" t="s">
        <v>133</v>
      </c>
      <c r="E29" s="16" t="s">
        <v>133</v>
      </c>
      <c r="F29" s="16"/>
      <c r="G29" s="1"/>
      <c r="H29" s="1"/>
      <c r="I29" s="1"/>
      <c r="J29" s="1"/>
      <c r="K29" s="1"/>
      <c r="L29" s="1"/>
      <c r="M29" s="1"/>
      <c r="N29" s="1"/>
      <c r="O29" s="1"/>
      <c r="P29" s="1"/>
      <c r="Q29" s="1"/>
      <c r="R29" s="1"/>
      <c r="S29" s="1"/>
      <c r="T29" s="1"/>
      <c r="U29" s="1"/>
      <c r="V29" s="1"/>
      <c r="W29" s="1"/>
      <c r="X29" s="1"/>
      <c r="Y29" s="1"/>
      <c r="Z29" s="1"/>
    </row>
    <row r="30" ht="15.75" customHeight="1">
      <c r="A30" s="93"/>
      <c r="B30" s="94"/>
      <c r="C30" s="16" t="s">
        <v>134</v>
      </c>
      <c r="D30" s="16" t="s">
        <v>134</v>
      </c>
      <c r="E30" s="16" t="s">
        <v>134</v>
      </c>
      <c r="F30" s="16"/>
      <c r="G30" s="1"/>
      <c r="H30" s="1"/>
      <c r="I30" s="1"/>
      <c r="J30" s="1"/>
      <c r="K30" s="1"/>
      <c r="L30" s="1"/>
      <c r="M30" s="1"/>
      <c r="N30" s="1"/>
      <c r="O30" s="1"/>
      <c r="P30" s="1"/>
      <c r="Q30" s="1"/>
      <c r="R30" s="1"/>
      <c r="S30" s="1"/>
      <c r="T30" s="1"/>
      <c r="U30" s="1"/>
      <c r="V30" s="1"/>
      <c r="W30" s="1"/>
      <c r="X30" s="1"/>
      <c r="Y30" s="1"/>
      <c r="Z30" s="1"/>
    </row>
    <row r="31" ht="15.75" customHeight="1">
      <c r="A31" s="93"/>
      <c r="B31" s="94"/>
      <c r="C31" s="16" t="s">
        <v>135</v>
      </c>
      <c r="D31" s="16" t="s">
        <v>135</v>
      </c>
      <c r="E31" s="95" t="s">
        <v>226</v>
      </c>
      <c r="F31" s="3"/>
      <c r="G31" s="1"/>
      <c r="H31" s="1"/>
      <c r="I31" s="1"/>
      <c r="J31" s="1"/>
      <c r="K31" s="1"/>
      <c r="L31" s="1"/>
      <c r="M31" s="1"/>
      <c r="N31" s="1"/>
      <c r="O31" s="1"/>
      <c r="P31" s="1"/>
      <c r="Q31" s="1"/>
      <c r="R31" s="1"/>
      <c r="S31" s="1"/>
      <c r="T31" s="1"/>
      <c r="U31" s="1"/>
      <c r="V31" s="1"/>
      <c r="W31" s="1"/>
      <c r="X31" s="1"/>
      <c r="Y31" s="1"/>
      <c r="Z31" s="1"/>
    </row>
    <row r="32" ht="15.75" customHeight="1">
      <c r="A32" s="93"/>
      <c r="B32" s="94"/>
      <c r="C32" s="16" t="s">
        <v>137</v>
      </c>
      <c r="D32" s="16" t="s">
        <v>137</v>
      </c>
      <c r="E32" s="16" t="s">
        <v>137</v>
      </c>
      <c r="F32" s="3"/>
      <c r="G32" s="1"/>
      <c r="H32" s="1"/>
      <c r="I32" s="1"/>
      <c r="J32" s="1"/>
      <c r="K32" s="1"/>
      <c r="L32" s="1"/>
      <c r="M32" s="1"/>
      <c r="N32" s="1"/>
      <c r="O32" s="1"/>
      <c r="P32" s="1"/>
      <c r="Q32" s="1"/>
      <c r="R32" s="1"/>
      <c r="S32" s="1"/>
      <c r="T32" s="1"/>
      <c r="U32" s="1"/>
      <c r="V32" s="1"/>
      <c r="W32" s="1"/>
      <c r="X32" s="1"/>
      <c r="Y32" s="1"/>
      <c r="Z32" s="1"/>
    </row>
    <row r="33" ht="15.75" customHeight="1">
      <c r="A33" s="93"/>
      <c r="B33" s="96" t="s">
        <v>43</v>
      </c>
      <c r="C33" s="97" t="s">
        <v>191</v>
      </c>
      <c r="D33" s="97" t="s">
        <v>193</v>
      </c>
      <c r="E33" s="97" t="s">
        <v>241</v>
      </c>
      <c r="F33" s="97"/>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242</v>
      </c>
      <c r="D35" s="97" t="s">
        <v>243</v>
      </c>
      <c r="E35" s="97" t="s">
        <v>244</v>
      </c>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00"/>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01"/>
      <c r="G38" s="1"/>
      <c r="H38" s="1"/>
      <c r="I38" s="1"/>
      <c r="J38" s="1"/>
      <c r="K38" s="1"/>
      <c r="L38" s="1"/>
      <c r="M38" s="1"/>
      <c r="N38" s="1"/>
      <c r="O38" s="1"/>
      <c r="P38" s="1"/>
      <c r="Q38" s="1"/>
      <c r="R38" s="1"/>
      <c r="S38" s="1"/>
      <c r="T38" s="1"/>
      <c r="U38" s="1"/>
      <c r="V38" s="1"/>
      <c r="W38" s="1"/>
      <c r="X38" s="1"/>
      <c r="Y38" s="1"/>
      <c r="Z38" s="1"/>
    </row>
    <row r="39" ht="15.75" customHeight="1">
      <c r="A39" s="1"/>
      <c r="B39" s="8" t="s">
        <v>91</v>
      </c>
      <c r="C39" s="8"/>
      <c r="D39" s="60">
        <v>3000.0</v>
      </c>
      <c r="E39" s="8"/>
      <c r="F39" s="8"/>
      <c r="G39" s="1"/>
      <c r="H39" s="1"/>
      <c r="I39" s="1"/>
      <c r="J39" s="1"/>
      <c r="K39" s="1"/>
      <c r="L39" s="1"/>
      <c r="M39" s="1"/>
      <c r="N39" s="1"/>
      <c r="O39" s="1"/>
      <c r="P39" s="1"/>
      <c r="Q39" s="1"/>
      <c r="R39" s="1"/>
      <c r="S39" s="1"/>
      <c r="T39" s="1"/>
      <c r="U39" s="1"/>
      <c r="V39" s="1"/>
      <c r="W39" s="1"/>
      <c r="X39" s="1"/>
      <c r="Y39" s="1"/>
      <c r="Z39" s="1"/>
    </row>
    <row r="40" ht="15.75" customHeight="1">
      <c r="A40" s="1"/>
      <c r="B40" s="8" t="s">
        <v>150</v>
      </c>
      <c r="C40" s="8"/>
      <c r="D40" s="8"/>
      <c r="E40" s="8"/>
      <c r="F40" s="8"/>
      <c r="G40" s="1"/>
      <c r="H40" s="1"/>
      <c r="I40" s="1"/>
      <c r="J40" s="1"/>
      <c r="K40" s="1"/>
      <c r="L40" s="1"/>
      <c r="M40" s="1"/>
      <c r="N40" s="1"/>
      <c r="O40" s="1"/>
      <c r="P40" s="1"/>
      <c r="Q40" s="1"/>
      <c r="R40" s="1"/>
      <c r="S40" s="1"/>
      <c r="T40" s="1"/>
      <c r="U40" s="1"/>
      <c r="V40" s="1"/>
      <c r="W40" s="1"/>
      <c r="X40" s="1"/>
      <c r="Y40" s="1"/>
      <c r="Z40" s="1"/>
    </row>
    <row r="41" ht="15.75" customHeight="1">
      <c r="A41" s="1"/>
      <c r="B41" s="8" t="s">
        <v>151</v>
      </c>
      <c r="C41" s="8"/>
      <c r="D41" s="8"/>
      <c r="E41" s="8"/>
      <c r="F41" s="8"/>
      <c r="G41" s="1"/>
      <c r="H41" s="1"/>
      <c r="I41" s="1"/>
      <c r="J41" s="1"/>
      <c r="K41" s="1"/>
      <c r="L41" s="1"/>
      <c r="M41" s="1"/>
      <c r="N41" s="1"/>
      <c r="O41" s="1"/>
      <c r="P41" s="1"/>
      <c r="Q41" s="1"/>
      <c r="R41" s="1"/>
      <c r="S41" s="1"/>
      <c r="T41" s="1"/>
      <c r="U41" s="1"/>
      <c r="V41" s="1"/>
      <c r="W41" s="1"/>
      <c r="X41" s="1"/>
      <c r="Y41" s="1"/>
      <c r="Z41" s="1"/>
    </row>
    <row r="42" ht="15.75" customHeight="1">
      <c r="A42" s="1"/>
      <c r="B42" s="8" t="s">
        <v>152</v>
      </c>
      <c r="C42" s="99"/>
      <c r="D42" s="99" t="s">
        <v>153</v>
      </c>
      <c r="E42" s="99"/>
      <c r="F42" s="8"/>
      <c r="G42" s="1"/>
      <c r="H42" s="1"/>
      <c r="I42" s="1"/>
      <c r="J42" s="1"/>
      <c r="K42" s="1"/>
      <c r="L42" s="1"/>
      <c r="M42" s="1"/>
      <c r="N42" s="1"/>
      <c r="O42" s="1"/>
      <c r="P42" s="1"/>
      <c r="Q42" s="1"/>
      <c r="R42" s="1"/>
      <c r="S42" s="1"/>
      <c r="T42" s="1"/>
      <c r="U42" s="1"/>
      <c r="V42" s="1"/>
      <c r="W42" s="1"/>
      <c r="X42" s="1"/>
      <c r="Y42" s="1"/>
      <c r="Z42" s="1"/>
    </row>
    <row r="43" ht="15.75" customHeight="1">
      <c r="A43" s="1"/>
      <c r="B43" s="103" t="s">
        <v>154</v>
      </c>
      <c r="C43" s="99"/>
      <c r="D43" s="99" t="s">
        <v>155</v>
      </c>
      <c r="E43" s="99"/>
      <c r="F43" s="8"/>
      <c r="G43" s="1"/>
      <c r="H43" s="1"/>
      <c r="I43" s="1"/>
      <c r="J43" s="1"/>
      <c r="K43" s="1"/>
      <c r="L43" s="1"/>
      <c r="M43" s="1"/>
      <c r="N43" s="1"/>
      <c r="O43" s="1"/>
      <c r="P43" s="1"/>
      <c r="Q43" s="1"/>
      <c r="R43" s="1"/>
      <c r="S43" s="1"/>
      <c r="T43" s="1"/>
      <c r="U43" s="1"/>
      <c r="V43" s="1"/>
      <c r="W43" s="1"/>
      <c r="X43" s="1"/>
      <c r="Y43" s="1"/>
      <c r="Z43" s="1"/>
    </row>
    <row r="44" ht="15.75" customHeight="1">
      <c r="A44" s="1"/>
      <c r="B44" s="104" t="s">
        <v>156</v>
      </c>
      <c r="C44" s="99"/>
      <c r="D44" s="99"/>
      <c r="E44" s="99"/>
      <c r="F44" s="8"/>
      <c r="G44" s="1"/>
      <c r="H44" s="1"/>
      <c r="I44" s="1"/>
      <c r="J44" s="1"/>
      <c r="K44" s="1"/>
      <c r="L44" s="1"/>
      <c r="M44" s="1"/>
      <c r="N44" s="1"/>
      <c r="O44" s="1"/>
      <c r="P44" s="1"/>
      <c r="Q44" s="1"/>
      <c r="R44" s="1"/>
      <c r="S44" s="1"/>
      <c r="T44" s="1"/>
      <c r="U44" s="1"/>
      <c r="V44" s="1"/>
      <c r="W44" s="1"/>
      <c r="X44" s="1"/>
      <c r="Y44" s="1"/>
      <c r="Z44" s="1"/>
    </row>
    <row r="45" ht="15.75" customHeight="1">
      <c r="A45" s="1"/>
      <c r="B45" s="8" t="s">
        <v>245</v>
      </c>
      <c r="C45" s="8"/>
      <c r="D45" s="8"/>
      <c r="E45" s="8"/>
      <c r="F45" s="8"/>
      <c r="G45" s="1"/>
      <c r="H45" s="1"/>
      <c r="I45" s="1"/>
      <c r="J45" s="1"/>
      <c r="K45" s="1"/>
      <c r="L45" s="1"/>
      <c r="M45" s="1"/>
      <c r="N45" s="1"/>
      <c r="O45" s="1"/>
      <c r="P45" s="1"/>
      <c r="Q45" s="1"/>
      <c r="R45" s="1"/>
      <c r="S45" s="1"/>
      <c r="T45" s="1"/>
      <c r="U45" s="1"/>
      <c r="V45" s="1"/>
      <c r="W45" s="1"/>
      <c r="X45" s="1"/>
      <c r="Y45" s="1"/>
      <c r="Z45" s="1"/>
    </row>
    <row r="46" ht="15.75" customHeight="1">
      <c r="A46" s="1"/>
      <c r="B46" s="8" t="s">
        <v>233</v>
      </c>
      <c r="C46" s="99"/>
      <c r="D46" s="99"/>
      <c r="E46" s="99"/>
      <c r="F46" s="8"/>
      <c r="G46" s="1"/>
      <c r="H46" s="1"/>
      <c r="I46" s="1"/>
      <c r="J46" s="1"/>
      <c r="K46" s="1"/>
      <c r="L46" s="1"/>
      <c r="M46" s="1"/>
      <c r="N46" s="1"/>
      <c r="O46" s="1"/>
      <c r="P46" s="1"/>
      <c r="Q46" s="1"/>
      <c r="R46" s="1"/>
      <c r="S46" s="1"/>
      <c r="T46" s="1"/>
      <c r="U46" s="1"/>
      <c r="V46" s="1"/>
      <c r="W46" s="1"/>
      <c r="X46" s="1"/>
      <c r="Y46" s="1"/>
      <c r="Z46" s="1"/>
    </row>
    <row r="47" ht="15.75" customHeight="1">
      <c r="A47" s="1"/>
      <c r="B47" s="8" t="s">
        <v>157</v>
      </c>
      <c r="C47" s="8"/>
      <c r="D47" s="8"/>
      <c r="E47" s="8"/>
      <c r="F47" s="8"/>
      <c r="G47" s="1"/>
      <c r="H47" s="1"/>
      <c r="I47" s="1"/>
      <c r="J47" s="1"/>
      <c r="K47" s="1"/>
      <c r="L47" s="1"/>
      <c r="M47" s="1"/>
      <c r="N47" s="1"/>
      <c r="O47" s="1"/>
      <c r="P47" s="1"/>
      <c r="Q47" s="1"/>
      <c r="R47" s="1"/>
      <c r="S47" s="1"/>
      <c r="T47" s="1"/>
      <c r="U47" s="1"/>
      <c r="V47" s="1"/>
      <c r="W47" s="1"/>
      <c r="X47" s="1"/>
      <c r="Y47" s="1"/>
      <c r="Z47" s="1"/>
    </row>
    <row r="48" ht="15.75" customHeight="1">
      <c r="A48" s="1"/>
      <c r="B48" s="8" t="s">
        <v>158</v>
      </c>
      <c r="C48" s="8"/>
      <c r="D48" s="8"/>
      <c r="E48" s="8"/>
      <c r="F48" s="8"/>
      <c r="G48" s="1"/>
      <c r="H48" s="1"/>
      <c r="I48" s="1"/>
      <c r="J48" s="1"/>
      <c r="K48" s="1"/>
      <c r="L48" s="1"/>
      <c r="M48" s="1"/>
      <c r="N48" s="1"/>
      <c r="O48" s="1"/>
      <c r="P48" s="1"/>
      <c r="Q48" s="1"/>
      <c r="R48" s="1"/>
      <c r="S48" s="1"/>
      <c r="T48" s="1"/>
      <c r="U48" s="1"/>
      <c r="V48" s="1"/>
      <c r="W48" s="1"/>
      <c r="X48" s="1"/>
      <c r="Y48" s="1"/>
      <c r="Z48" s="1"/>
    </row>
    <row r="49" ht="15.75" customHeight="1">
      <c r="A49" s="1"/>
      <c r="B49" s="8" t="s">
        <v>234</v>
      </c>
      <c r="C49" s="8"/>
      <c r="D49" s="8"/>
      <c r="E49" s="8"/>
      <c r="F49" s="8"/>
      <c r="G49" s="1"/>
      <c r="H49" s="1"/>
      <c r="I49" s="1"/>
      <c r="J49" s="1"/>
      <c r="K49" s="1"/>
      <c r="L49" s="1"/>
      <c r="M49" s="1"/>
      <c r="N49" s="1"/>
      <c r="O49" s="1"/>
      <c r="P49" s="1"/>
      <c r="Q49" s="1"/>
      <c r="R49" s="1"/>
      <c r="S49" s="1"/>
      <c r="T49" s="1"/>
      <c r="U49" s="1"/>
      <c r="V49" s="1"/>
      <c r="W49" s="1"/>
      <c r="X49" s="1"/>
      <c r="Y49" s="1"/>
      <c r="Z49" s="1"/>
    </row>
    <row r="50" ht="15.75" customHeight="1">
      <c r="A50" s="1"/>
      <c r="B50" s="8" t="s">
        <v>235</v>
      </c>
      <c r="C50" s="8"/>
      <c r="D50" s="8"/>
      <c r="E50" s="8"/>
      <c r="F50" s="8"/>
      <c r="G50" s="1"/>
      <c r="H50" s="1"/>
      <c r="I50" s="1"/>
      <c r="J50" s="1"/>
      <c r="K50" s="1"/>
      <c r="L50" s="1"/>
      <c r="M50" s="1"/>
      <c r="N50" s="1"/>
      <c r="O50" s="1"/>
      <c r="P50" s="1"/>
      <c r="Q50" s="1"/>
      <c r="R50" s="1"/>
      <c r="S50" s="1"/>
      <c r="T50" s="1"/>
      <c r="U50" s="1"/>
      <c r="V50" s="1"/>
      <c r="W50" s="1"/>
      <c r="X50" s="1"/>
      <c r="Y50" s="1"/>
      <c r="Z50" s="1"/>
    </row>
    <row r="51" ht="15.75" customHeight="1">
      <c r="A51" s="1"/>
      <c r="B51" s="8" t="s">
        <v>159</v>
      </c>
      <c r="C51" s="8"/>
      <c r="D51" s="8"/>
      <c r="E51" s="8"/>
      <c r="F51" s="8"/>
      <c r="G51" s="1"/>
      <c r="H51" s="1"/>
      <c r="I51" s="1"/>
      <c r="J51" s="1"/>
      <c r="K51" s="1"/>
      <c r="L51" s="1"/>
      <c r="M51" s="1"/>
      <c r="N51" s="1"/>
      <c r="O51" s="1"/>
      <c r="P51" s="1"/>
      <c r="Q51" s="1"/>
      <c r="R51" s="1"/>
      <c r="S51" s="1"/>
      <c r="T51" s="1"/>
      <c r="U51" s="1"/>
      <c r="V51" s="1"/>
      <c r="W51" s="1"/>
      <c r="X51" s="1"/>
      <c r="Y51" s="1"/>
      <c r="Z51" s="1"/>
    </row>
    <row r="52" ht="15.75" customHeight="1">
      <c r="A52" s="1"/>
      <c r="B52" s="8" t="s">
        <v>160</v>
      </c>
      <c r="C52" s="8"/>
      <c r="D52" s="8"/>
      <c r="E52" s="8"/>
      <c r="F52" s="8"/>
      <c r="G52" s="1"/>
      <c r="H52" s="1"/>
      <c r="I52" s="1"/>
      <c r="J52" s="1"/>
      <c r="K52" s="1"/>
      <c r="L52" s="1"/>
      <c r="M52" s="1"/>
      <c r="N52" s="1"/>
      <c r="O52" s="1"/>
      <c r="P52" s="1"/>
      <c r="Q52" s="1"/>
      <c r="R52" s="1"/>
      <c r="S52" s="1"/>
      <c r="T52" s="1"/>
      <c r="U52" s="1"/>
      <c r="V52" s="1"/>
      <c r="W52" s="1"/>
      <c r="X52" s="1"/>
      <c r="Y52" s="1"/>
      <c r="Z52" s="1"/>
    </row>
    <row r="53" ht="15.75" customHeight="1">
      <c r="A53" s="1"/>
      <c r="B53" s="8" t="s">
        <v>161</v>
      </c>
      <c r="C53" s="8"/>
      <c r="D53" s="8"/>
      <c r="E53" s="8"/>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display="Return to Home" location="TOC!A1" ref="G3"/>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246</v>
      </c>
      <c r="B3" s="84" t="s">
        <v>247</v>
      </c>
      <c r="C3" s="85" t="s">
        <v>248</v>
      </c>
      <c r="D3" s="86"/>
      <c r="E3" s="86"/>
      <c r="G3" s="87" t="s">
        <v>105</v>
      </c>
      <c r="H3" s="1"/>
      <c r="I3" s="1"/>
      <c r="J3" s="1"/>
      <c r="K3" s="1"/>
      <c r="L3" s="1"/>
      <c r="M3" s="1"/>
      <c r="N3" s="1"/>
      <c r="O3" s="1"/>
      <c r="P3" s="1"/>
      <c r="Q3" s="1"/>
      <c r="R3" s="1"/>
      <c r="S3" s="1"/>
      <c r="T3" s="1"/>
      <c r="U3" s="1"/>
      <c r="V3" s="1"/>
      <c r="W3" s="1"/>
      <c r="X3" s="1"/>
      <c r="Y3" s="1"/>
      <c r="Z3" s="1"/>
    </row>
    <row r="4">
      <c r="A4" s="108" t="s">
        <v>249</v>
      </c>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68.25" customHeight="1">
      <c r="A7" s="89" t="s">
        <v>107</v>
      </c>
      <c r="B7" s="90" t="s">
        <v>108</v>
      </c>
      <c r="C7" s="91" t="s">
        <v>250</v>
      </c>
      <c r="D7" s="91" t="s">
        <v>251</v>
      </c>
      <c r="E7" s="91" t="s">
        <v>252</v>
      </c>
      <c r="F7" s="9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c r="A9" s="92" t="s">
        <v>53</v>
      </c>
      <c r="B9" s="90"/>
      <c r="C9" s="91" t="s">
        <v>112</v>
      </c>
      <c r="D9" s="91" t="s">
        <v>112</v>
      </c>
      <c r="E9" s="109" t="s">
        <v>113</v>
      </c>
      <c r="F9" s="16"/>
      <c r="G9" s="1"/>
      <c r="H9" s="1"/>
      <c r="I9" s="1"/>
      <c r="J9" s="1"/>
      <c r="K9" s="1"/>
      <c r="L9" s="1"/>
      <c r="M9" s="1"/>
      <c r="N9" s="1"/>
      <c r="O9" s="1"/>
      <c r="P9" s="1"/>
      <c r="Q9" s="1"/>
      <c r="R9" s="1"/>
      <c r="S9" s="1"/>
      <c r="T9" s="1"/>
      <c r="U9" s="1"/>
      <c r="V9" s="1"/>
      <c r="W9" s="1"/>
      <c r="X9" s="1"/>
      <c r="Y9" s="1"/>
      <c r="Z9" s="1"/>
    </row>
    <row r="10">
      <c r="A10" s="93"/>
      <c r="B10" s="94"/>
      <c r="C10" s="91" t="s">
        <v>253</v>
      </c>
      <c r="D10" s="91" t="s">
        <v>253</v>
      </c>
      <c r="E10" s="109" t="s">
        <v>254</v>
      </c>
      <c r="F10" s="16"/>
      <c r="G10" s="1"/>
      <c r="H10" s="1"/>
      <c r="I10" s="1"/>
      <c r="J10" s="1"/>
      <c r="K10" s="1"/>
      <c r="L10" s="1"/>
      <c r="M10" s="1"/>
      <c r="N10" s="1"/>
      <c r="O10" s="1"/>
      <c r="P10" s="1"/>
      <c r="Q10" s="1"/>
      <c r="R10" s="1"/>
      <c r="S10" s="1"/>
      <c r="T10" s="1"/>
      <c r="U10" s="1"/>
      <c r="V10" s="1"/>
      <c r="W10" s="1"/>
      <c r="X10" s="1"/>
      <c r="Y10" s="1"/>
      <c r="Z10" s="1"/>
    </row>
    <row r="11" ht="15.75" customHeight="1">
      <c r="A11" s="93"/>
      <c r="B11" s="94"/>
      <c r="C11" s="91" t="s">
        <v>255</v>
      </c>
      <c r="D11" s="91" t="s">
        <v>255</v>
      </c>
      <c r="E11" s="91" t="s">
        <v>255</v>
      </c>
      <c r="F11" s="16"/>
      <c r="G11" s="1"/>
      <c r="H11" s="1"/>
      <c r="I11" s="1"/>
      <c r="J11" s="1"/>
      <c r="K11" s="1"/>
      <c r="L11" s="1"/>
      <c r="M11" s="1"/>
      <c r="N11" s="1"/>
      <c r="O11" s="1"/>
      <c r="P11" s="1"/>
      <c r="Q11" s="1"/>
      <c r="R11" s="1"/>
      <c r="S11" s="1"/>
      <c r="T11" s="1"/>
      <c r="U11" s="1"/>
      <c r="V11" s="1"/>
      <c r="W11" s="1"/>
      <c r="X11" s="1"/>
      <c r="Y11" s="1"/>
      <c r="Z11" s="1"/>
    </row>
    <row r="12" ht="15.75" customHeight="1">
      <c r="A12" s="93"/>
      <c r="B12" s="94"/>
      <c r="C12" s="91" t="s">
        <v>120</v>
      </c>
      <c r="D12" s="91" t="s">
        <v>120</v>
      </c>
      <c r="E12" s="91" t="s">
        <v>120</v>
      </c>
      <c r="F12" s="16"/>
      <c r="G12" s="1"/>
      <c r="H12" s="1"/>
      <c r="I12" s="1"/>
      <c r="J12" s="1"/>
      <c r="K12" s="1"/>
      <c r="L12" s="1"/>
      <c r="M12" s="1"/>
      <c r="N12" s="1"/>
      <c r="O12" s="1"/>
      <c r="P12" s="1"/>
      <c r="Q12" s="1"/>
      <c r="R12" s="1"/>
      <c r="S12" s="1"/>
      <c r="T12" s="1"/>
      <c r="U12" s="1"/>
      <c r="V12" s="1"/>
      <c r="W12" s="1"/>
      <c r="X12" s="1"/>
      <c r="Y12" s="1"/>
      <c r="Z12" s="1"/>
    </row>
    <row r="13" ht="27.75" customHeight="1">
      <c r="A13" s="93"/>
      <c r="B13" s="94"/>
      <c r="C13" s="91"/>
      <c r="D13" s="91"/>
      <c r="E13" s="91" t="s">
        <v>256</v>
      </c>
      <c r="F13" s="16"/>
      <c r="G13" s="1"/>
      <c r="H13" s="1"/>
      <c r="I13" s="1"/>
      <c r="J13" s="1"/>
      <c r="K13" s="1"/>
      <c r="L13" s="1"/>
      <c r="M13" s="1"/>
      <c r="N13" s="1"/>
      <c r="O13" s="1"/>
      <c r="P13" s="1"/>
      <c r="Q13" s="1"/>
      <c r="R13" s="1"/>
      <c r="S13" s="1"/>
      <c r="T13" s="1"/>
      <c r="U13" s="1"/>
      <c r="V13" s="1"/>
      <c r="W13" s="1"/>
      <c r="X13" s="1"/>
      <c r="Y13" s="1"/>
      <c r="Z13" s="1"/>
    </row>
    <row r="14" ht="15.75" customHeight="1">
      <c r="A14" s="93"/>
      <c r="B14" s="94"/>
      <c r="C14" s="16"/>
      <c r="D14" s="16"/>
      <c r="E14" s="16"/>
      <c r="F14" s="3"/>
      <c r="G14" s="1"/>
      <c r="H14" s="1"/>
      <c r="I14" s="1"/>
      <c r="J14" s="1"/>
      <c r="K14" s="1"/>
      <c r="L14" s="1"/>
      <c r="M14" s="1"/>
      <c r="N14" s="1"/>
      <c r="O14" s="1"/>
      <c r="P14" s="1"/>
      <c r="Q14" s="1"/>
      <c r="R14" s="1"/>
      <c r="S14" s="1"/>
      <c r="T14" s="1"/>
      <c r="U14" s="1"/>
      <c r="V14" s="1"/>
      <c r="W14" s="1"/>
      <c r="X14" s="1"/>
      <c r="Y14" s="1"/>
      <c r="Z14" s="1"/>
    </row>
    <row r="15" ht="15.75" customHeight="1">
      <c r="A15" s="93"/>
      <c r="B15" s="94"/>
      <c r="C15" s="16"/>
      <c r="D15" s="16"/>
      <c r="E15" s="16"/>
      <c r="F15" s="3"/>
      <c r="G15" s="1"/>
      <c r="H15" s="1"/>
      <c r="I15" s="1"/>
      <c r="J15" s="1"/>
      <c r="K15" s="1"/>
      <c r="L15" s="1"/>
      <c r="M15" s="1"/>
      <c r="N15" s="1"/>
      <c r="O15" s="1"/>
      <c r="P15" s="1"/>
      <c r="Q15" s="1"/>
      <c r="R15" s="1"/>
      <c r="S15" s="1"/>
      <c r="T15" s="1"/>
      <c r="U15" s="1"/>
      <c r="V15" s="1"/>
      <c r="W15" s="1"/>
      <c r="X15" s="1"/>
      <c r="Y15" s="1"/>
      <c r="Z15" s="1"/>
    </row>
    <row r="16" ht="15.75" customHeight="1">
      <c r="A16" s="93"/>
      <c r="B16" s="94"/>
      <c r="C16" s="16"/>
      <c r="D16" s="16"/>
      <c r="E16" s="16"/>
      <c r="F16" s="3"/>
      <c r="G16" s="1"/>
      <c r="H16" s="1"/>
      <c r="I16" s="1"/>
      <c r="J16" s="1"/>
      <c r="K16" s="1"/>
      <c r="L16" s="1"/>
      <c r="M16" s="1"/>
      <c r="N16" s="1"/>
      <c r="O16" s="1"/>
      <c r="P16" s="1"/>
      <c r="Q16" s="1"/>
      <c r="R16" s="1"/>
      <c r="S16" s="1"/>
      <c r="T16" s="1"/>
      <c r="U16" s="1"/>
      <c r="V16" s="1"/>
      <c r="W16" s="1"/>
      <c r="X16" s="1"/>
      <c r="Y16" s="1"/>
      <c r="Z16" s="1"/>
    </row>
    <row r="17" ht="15.75" customHeight="1">
      <c r="A17" s="93"/>
      <c r="B17" s="94"/>
      <c r="C17" s="16"/>
      <c r="D17" s="16"/>
      <c r="E17" s="16"/>
      <c r="F17" s="3"/>
      <c r="G17" s="1"/>
      <c r="H17" s="1"/>
      <c r="I17" s="1"/>
      <c r="J17" s="1"/>
      <c r="K17" s="1"/>
      <c r="L17" s="1"/>
      <c r="M17" s="1"/>
      <c r="N17" s="1"/>
      <c r="O17" s="1"/>
      <c r="P17" s="1"/>
      <c r="Q17" s="1"/>
      <c r="R17" s="1"/>
      <c r="S17" s="1"/>
      <c r="T17" s="1"/>
      <c r="U17" s="1"/>
      <c r="V17" s="1"/>
      <c r="W17" s="1"/>
      <c r="X17" s="1"/>
      <c r="Y17" s="1"/>
      <c r="Z17" s="1"/>
    </row>
    <row r="18" ht="15.75" customHeight="1">
      <c r="A18" s="93"/>
      <c r="B18" s="96" t="s">
        <v>43</v>
      </c>
      <c r="C18" s="97">
        <v>13000.0</v>
      </c>
      <c r="D18" s="97">
        <v>13000.0</v>
      </c>
      <c r="E18" s="97">
        <v>19000.0</v>
      </c>
      <c r="F18" s="97" t="s">
        <v>60</v>
      </c>
      <c r="G18" s="1"/>
      <c r="H18" s="1"/>
      <c r="I18" s="1"/>
      <c r="J18" s="1"/>
      <c r="K18" s="1"/>
      <c r="L18" s="1"/>
      <c r="M18" s="1"/>
      <c r="N18" s="1"/>
      <c r="O18" s="1"/>
      <c r="P18" s="1"/>
      <c r="Q18" s="1"/>
      <c r="R18" s="1"/>
      <c r="S18" s="1"/>
      <c r="T18" s="1"/>
      <c r="U18" s="1"/>
      <c r="V18" s="1"/>
      <c r="W18" s="1"/>
      <c r="X18" s="1"/>
      <c r="Y18" s="1"/>
      <c r="Z18" s="1"/>
    </row>
    <row r="19" ht="15.75" customHeight="1">
      <c r="A19" s="1"/>
      <c r="B19" s="5"/>
      <c r="C19" s="5"/>
      <c r="D19" s="5"/>
      <c r="E19" s="5"/>
      <c r="F19" s="5"/>
      <c r="G19" s="1"/>
      <c r="H19" s="1"/>
      <c r="I19" s="1"/>
      <c r="J19" s="1"/>
      <c r="K19" s="1"/>
      <c r="L19" s="1"/>
      <c r="M19" s="1"/>
      <c r="N19" s="1"/>
      <c r="O19" s="1"/>
      <c r="P19" s="1"/>
      <c r="Q19" s="1"/>
      <c r="R19" s="1"/>
      <c r="S19" s="1"/>
      <c r="T19" s="1"/>
      <c r="U19" s="1"/>
      <c r="V19" s="1"/>
      <c r="W19" s="1"/>
      <c r="X19" s="1"/>
      <c r="Y19" s="1"/>
      <c r="Z19" s="1"/>
    </row>
    <row r="20" ht="15.75" customHeight="1">
      <c r="A20" s="92" t="s">
        <v>15</v>
      </c>
      <c r="B20" s="90"/>
      <c r="C20" s="98" t="s">
        <v>257</v>
      </c>
      <c r="D20" s="98" t="s">
        <v>258</v>
      </c>
      <c r="E20" s="98" t="s">
        <v>259</v>
      </c>
      <c r="F20" s="98" t="s">
        <v>260</v>
      </c>
      <c r="G20" s="1"/>
      <c r="H20" s="1"/>
      <c r="I20" s="1"/>
      <c r="J20" s="1"/>
      <c r="K20" s="1"/>
      <c r="L20" s="1"/>
      <c r="M20" s="1"/>
      <c r="N20" s="1"/>
      <c r="O20" s="1"/>
      <c r="P20" s="1"/>
      <c r="Q20" s="1"/>
      <c r="R20" s="1"/>
      <c r="S20" s="1"/>
      <c r="T20" s="1"/>
      <c r="U20" s="1"/>
      <c r="V20" s="1"/>
      <c r="W20" s="1"/>
      <c r="X20" s="1"/>
      <c r="Y20" s="1"/>
      <c r="Z20" s="1"/>
    </row>
    <row r="21" ht="15.75" customHeight="1">
      <c r="A21" s="93"/>
      <c r="B21" s="94"/>
      <c r="C21" s="97"/>
      <c r="D21" s="97"/>
      <c r="E21" s="97"/>
      <c r="F21" s="97"/>
      <c r="G21" s="1"/>
      <c r="H21" s="1"/>
      <c r="I21" s="1"/>
      <c r="J21" s="1"/>
      <c r="K21" s="1"/>
      <c r="L21" s="1"/>
      <c r="M21" s="1"/>
      <c r="N21" s="1"/>
      <c r="O21" s="1"/>
      <c r="P21" s="1"/>
      <c r="Q21" s="1"/>
      <c r="R21" s="1"/>
      <c r="S21" s="1"/>
      <c r="T21" s="1"/>
      <c r="U21" s="1"/>
      <c r="V21" s="1"/>
      <c r="W21" s="1"/>
      <c r="X21" s="1"/>
      <c r="Y21" s="1"/>
      <c r="Z21" s="1"/>
    </row>
    <row r="22" ht="15.75" customHeight="1">
      <c r="A22" s="93"/>
      <c r="B22" s="96" t="s">
        <v>43</v>
      </c>
      <c r="C22" s="97" t="s">
        <v>125</v>
      </c>
      <c r="D22" s="97" t="s">
        <v>125</v>
      </c>
      <c r="E22" s="97" t="s">
        <v>125</v>
      </c>
      <c r="F22" s="97" t="s">
        <v>125</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92" t="s">
        <v>126</v>
      </c>
      <c r="B24" s="90"/>
      <c r="C24" s="16" t="s">
        <v>187</v>
      </c>
      <c r="D24" s="16" t="s">
        <v>187</v>
      </c>
      <c r="E24" s="95" t="s">
        <v>127</v>
      </c>
      <c r="F24" s="16"/>
      <c r="G24" s="1"/>
      <c r="H24" s="1"/>
      <c r="I24" s="1"/>
      <c r="J24" s="1"/>
      <c r="K24" s="1"/>
      <c r="L24" s="1"/>
      <c r="M24" s="1"/>
      <c r="N24" s="1"/>
      <c r="O24" s="1"/>
      <c r="P24" s="1"/>
      <c r="Q24" s="1"/>
      <c r="R24" s="1"/>
      <c r="S24" s="1"/>
      <c r="T24" s="1"/>
      <c r="U24" s="1"/>
      <c r="V24" s="1"/>
      <c r="W24" s="1"/>
      <c r="X24" s="1"/>
      <c r="Y24" s="1"/>
      <c r="Z24" s="1"/>
    </row>
    <row r="25" ht="15.75" customHeight="1">
      <c r="A25" s="93"/>
      <c r="B25" s="94"/>
      <c r="C25" s="16" t="s">
        <v>129</v>
      </c>
      <c r="D25" s="16" t="s">
        <v>129</v>
      </c>
      <c r="E25" s="16" t="s">
        <v>129</v>
      </c>
      <c r="F25" s="16"/>
      <c r="G25" s="1"/>
      <c r="H25" s="1"/>
      <c r="I25" s="1"/>
      <c r="J25" s="1"/>
      <c r="K25" s="1"/>
      <c r="L25" s="1"/>
      <c r="M25" s="1"/>
      <c r="N25" s="1"/>
      <c r="O25" s="1"/>
      <c r="P25" s="1"/>
      <c r="Q25" s="1"/>
      <c r="R25" s="1"/>
      <c r="S25" s="1"/>
      <c r="T25" s="1"/>
      <c r="U25" s="1"/>
      <c r="V25" s="1"/>
      <c r="W25" s="1"/>
      <c r="X25" s="1"/>
      <c r="Y25" s="1"/>
      <c r="Z25" s="1"/>
    </row>
    <row r="26" ht="15.75" customHeight="1">
      <c r="A26" s="93"/>
      <c r="B26" s="94"/>
      <c r="C26" s="16" t="s">
        <v>130</v>
      </c>
      <c r="D26" s="16" t="s">
        <v>130</v>
      </c>
      <c r="E26" s="16" t="s">
        <v>130</v>
      </c>
      <c r="F26" s="16"/>
      <c r="G26" s="1"/>
      <c r="H26" s="1"/>
      <c r="I26" s="1"/>
      <c r="J26" s="1"/>
      <c r="K26" s="1"/>
      <c r="L26" s="1"/>
      <c r="M26" s="1"/>
      <c r="N26" s="1"/>
      <c r="O26" s="1"/>
      <c r="P26" s="1"/>
      <c r="Q26" s="1"/>
      <c r="R26" s="1"/>
      <c r="S26" s="1"/>
      <c r="T26" s="1"/>
      <c r="U26" s="1"/>
      <c r="V26" s="1"/>
      <c r="W26" s="1"/>
      <c r="X26" s="1"/>
      <c r="Y26" s="1"/>
      <c r="Z26" s="1"/>
    </row>
    <row r="27" ht="15.75" customHeight="1">
      <c r="A27" s="93"/>
      <c r="B27" s="94"/>
      <c r="C27" s="91" t="s">
        <v>253</v>
      </c>
      <c r="D27" s="91" t="s">
        <v>253</v>
      </c>
      <c r="E27" s="109" t="s">
        <v>254</v>
      </c>
      <c r="F27" s="16"/>
      <c r="G27" s="1"/>
      <c r="H27" s="1"/>
      <c r="I27" s="1"/>
      <c r="J27" s="1"/>
      <c r="K27" s="1"/>
      <c r="L27" s="1"/>
      <c r="M27" s="1"/>
      <c r="N27" s="1"/>
      <c r="O27" s="1"/>
      <c r="P27" s="1"/>
      <c r="Q27" s="1"/>
      <c r="R27" s="1"/>
      <c r="S27" s="1"/>
      <c r="T27" s="1"/>
      <c r="U27" s="1"/>
      <c r="V27" s="1"/>
      <c r="W27" s="1"/>
      <c r="X27" s="1"/>
      <c r="Y27" s="1"/>
      <c r="Z27" s="1"/>
    </row>
    <row r="28" ht="15.75" customHeight="1">
      <c r="A28" s="93"/>
      <c r="B28" s="94"/>
      <c r="C28" s="109" t="s">
        <v>261</v>
      </c>
      <c r="D28" s="109" t="s">
        <v>262</v>
      </c>
      <c r="E28" s="109" t="s">
        <v>262</v>
      </c>
      <c r="F28" s="16"/>
      <c r="G28" s="1"/>
      <c r="H28" s="1"/>
      <c r="I28" s="1"/>
      <c r="J28" s="1"/>
      <c r="K28" s="1"/>
      <c r="L28" s="1"/>
      <c r="M28" s="1"/>
      <c r="N28" s="1"/>
      <c r="O28" s="1"/>
      <c r="P28" s="1"/>
      <c r="Q28" s="1"/>
      <c r="R28" s="1"/>
      <c r="S28" s="1"/>
      <c r="T28" s="1"/>
      <c r="U28" s="1"/>
      <c r="V28" s="1"/>
      <c r="W28" s="1"/>
      <c r="X28" s="1"/>
      <c r="Y28" s="1"/>
      <c r="Z28" s="1"/>
    </row>
    <row r="29" ht="15.75" customHeight="1">
      <c r="A29" s="93"/>
      <c r="B29" s="94"/>
      <c r="C29" s="16" t="s">
        <v>131</v>
      </c>
      <c r="D29" s="16" t="s">
        <v>131</v>
      </c>
      <c r="E29" s="16" t="s">
        <v>131</v>
      </c>
      <c r="F29" s="16"/>
      <c r="G29" s="1"/>
      <c r="H29" s="1"/>
      <c r="I29" s="1"/>
      <c r="J29" s="1"/>
      <c r="K29" s="1"/>
      <c r="L29" s="1"/>
      <c r="M29" s="1"/>
      <c r="N29" s="1"/>
      <c r="O29" s="1"/>
      <c r="P29" s="1"/>
      <c r="Q29" s="1"/>
      <c r="R29" s="1"/>
      <c r="S29" s="1"/>
      <c r="T29" s="1"/>
      <c r="U29" s="1"/>
      <c r="V29" s="1"/>
      <c r="W29" s="1"/>
      <c r="X29" s="1"/>
      <c r="Y29" s="1"/>
      <c r="Z29" s="1"/>
    </row>
    <row r="30" ht="15.75" customHeight="1">
      <c r="A30" s="93"/>
      <c r="B30" s="94"/>
      <c r="C30" s="16" t="s">
        <v>132</v>
      </c>
      <c r="D30" s="16" t="s">
        <v>132</v>
      </c>
      <c r="E30" s="16" t="s">
        <v>132</v>
      </c>
      <c r="F30" s="16"/>
      <c r="G30" s="1"/>
      <c r="H30" s="1"/>
      <c r="I30" s="1"/>
      <c r="J30" s="1"/>
      <c r="K30" s="1"/>
      <c r="L30" s="1"/>
      <c r="M30" s="1"/>
      <c r="N30" s="1"/>
      <c r="O30" s="1"/>
      <c r="P30" s="1"/>
      <c r="Q30" s="1"/>
      <c r="R30" s="1"/>
      <c r="S30" s="1"/>
      <c r="T30" s="1"/>
      <c r="U30" s="1"/>
      <c r="V30" s="1"/>
      <c r="W30" s="1"/>
      <c r="X30" s="1"/>
      <c r="Y30" s="1"/>
      <c r="Z30" s="1"/>
    </row>
    <row r="31" ht="15.75" customHeight="1">
      <c r="A31" s="93"/>
      <c r="B31" s="94"/>
      <c r="C31" s="16" t="s">
        <v>263</v>
      </c>
      <c r="D31" s="16" t="s">
        <v>263</v>
      </c>
      <c r="E31" s="16" t="s">
        <v>263</v>
      </c>
      <c r="F31" s="3"/>
      <c r="G31" s="1"/>
      <c r="H31" s="1"/>
      <c r="I31" s="1"/>
      <c r="J31" s="1"/>
      <c r="K31" s="1"/>
      <c r="L31" s="1"/>
      <c r="M31" s="1"/>
      <c r="N31" s="1"/>
      <c r="O31" s="1"/>
      <c r="P31" s="1"/>
      <c r="Q31" s="1"/>
      <c r="R31" s="1"/>
      <c r="S31" s="1"/>
      <c r="T31" s="1"/>
      <c r="U31" s="1"/>
      <c r="V31" s="1"/>
      <c r="W31" s="1"/>
      <c r="X31" s="1"/>
      <c r="Y31" s="1"/>
      <c r="Z31" s="1"/>
    </row>
    <row r="32" ht="15.75" customHeight="1">
      <c r="A32" s="93"/>
      <c r="B32" s="94"/>
      <c r="C32" s="16" t="s">
        <v>134</v>
      </c>
      <c r="D32" s="16" t="s">
        <v>134</v>
      </c>
      <c r="E32" s="16" t="s">
        <v>134</v>
      </c>
      <c r="F32" s="3"/>
      <c r="G32" s="1"/>
      <c r="H32" s="1"/>
      <c r="I32" s="1"/>
      <c r="J32" s="1"/>
      <c r="K32" s="1"/>
      <c r="L32" s="1"/>
      <c r="M32" s="1"/>
      <c r="N32" s="1"/>
      <c r="O32" s="1"/>
      <c r="P32" s="1"/>
      <c r="Q32" s="1"/>
      <c r="R32" s="1"/>
      <c r="S32" s="1"/>
      <c r="T32" s="1"/>
      <c r="U32" s="1"/>
      <c r="V32" s="1"/>
      <c r="W32" s="1"/>
      <c r="X32" s="1"/>
      <c r="Y32" s="1"/>
      <c r="Z32" s="1"/>
    </row>
    <row r="33" ht="15.75" customHeight="1">
      <c r="A33" s="93"/>
      <c r="B33" s="96" t="s">
        <v>43</v>
      </c>
      <c r="C33" s="97">
        <v>13000.0</v>
      </c>
      <c r="D33" s="97">
        <v>16000.0</v>
      </c>
      <c r="E33" s="97">
        <v>21000.0</v>
      </c>
      <c r="F33" s="97" t="s">
        <v>60</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264</v>
      </c>
      <c r="D35" s="97" t="s">
        <v>265</v>
      </c>
      <c r="E35" s="97" t="s">
        <v>266</v>
      </c>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00"/>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01"/>
      <c r="G38" s="1"/>
      <c r="H38" s="1"/>
      <c r="I38" s="1"/>
      <c r="J38" s="1"/>
      <c r="K38" s="1"/>
      <c r="L38" s="1"/>
      <c r="M38" s="1"/>
      <c r="N38" s="1"/>
      <c r="O38" s="1"/>
      <c r="P38" s="1"/>
      <c r="Q38" s="1"/>
      <c r="R38" s="1"/>
      <c r="S38" s="1"/>
      <c r="T38" s="1"/>
      <c r="U38" s="1"/>
      <c r="V38" s="1"/>
      <c r="W38" s="1"/>
      <c r="X38" s="1"/>
      <c r="Y38" s="1"/>
      <c r="Z38" s="1"/>
    </row>
    <row r="39" ht="15.75" customHeight="1">
      <c r="A39" s="1"/>
      <c r="B39" s="8" t="s">
        <v>150</v>
      </c>
      <c r="C39" s="8"/>
      <c r="D39" s="8"/>
      <c r="E39" s="8"/>
      <c r="F39" s="8"/>
      <c r="G39" s="1"/>
      <c r="H39" s="1"/>
      <c r="I39" s="1"/>
      <c r="J39" s="1"/>
      <c r="K39" s="1"/>
      <c r="L39" s="1"/>
      <c r="M39" s="1"/>
      <c r="N39" s="1"/>
      <c r="O39" s="1"/>
      <c r="P39" s="1"/>
      <c r="Q39" s="1"/>
      <c r="R39" s="1"/>
      <c r="S39" s="1"/>
      <c r="T39" s="1"/>
      <c r="U39" s="1"/>
      <c r="V39" s="1"/>
      <c r="W39" s="1"/>
      <c r="X39" s="1"/>
      <c r="Y39" s="1"/>
      <c r="Z39" s="1"/>
    </row>
    <row r="40" ht="15.75" customHeight="1">
      <c r="A40" s="1"/>
      <c r="B40" s="8" t="s">
        <v>151</v>
      </c>
      <c r="C40" s="8"/>
      <c r="D40" s="8"/>
      <c r="E40" s="8"/>
      <c r="F40" s="8"/>
      <c r="G40" s="1"/>
      <c r="H40" s="1"/>
      <c r="I40" s="1"/>
      <c r="J40" s="1"/>
      <c r="K40" s="1"/>
      <c r="L40" s="1"/>
      <c r="M40" s="1"/>
      <c r="N40" s="1"/>
      <c r="O40" s="1"/>
      <c r="P40" s="1"/>
      <c r="Q40" s="1"/>
      <c r="R40" s="1"/>
      <c r="S40" s="1"/>
      <c r="T40" s="1"/>
      <c r="U40" s="1"/>
      <c r="V40" s="1"/>
      <c r="W40" s="1"/>
      <c r="X40" s="1"/>
      <c r="Y40" s="1"/>
      <c r="Z40" s="1"/>
    </row>
    <row r="41" ht="15.75" customHeight="1">
      <c r="A41" s="1"/>
      <c r="B41" s="8" t="s">
        <v>152</v>
      </c>
      <c r="C41" s="99"/>
      <c r="D41" s="99" t="s">
        <v>153</v>
      </c>
      <c r="E41" s="8"/>
      <c r="F41" s="8"/>
      <c r="G41" s="1"/>
      <c r="H41" s="1"/>
      <c r="I41" s="1"/>
      <c r="J41" s="1"/>
      <c r="K41" s="1"/>
      <c r="L41" s="1"/>
      <c r="M41" s="1"/>
      <c r="N41" s="1"/>
      <c r="O41" s="1"/>
      <c r="P41" s="1"/>
      <c r="Q41" s="1"/>
      <c r="R41" s="1"/>
      <c r="S41" s="1"/>
      <c r="T41" s="1"/>
      <c r="U41" s="1"/>
      <c r="V41" s="1"/>
      <c r="W41" s="1"/>
      <c r="X41" s="1"/>
      <c r="Y41" s="1"/>
      <c r="Z41" s="1"/>
    </row>
    <row r="42" ht="15.75" customHeight="1">
      <c r="A42" s="1"/>
      <c r="B42" s="103" t="s">
        <v>154</v>
      </c>
      <c r="C42" s="99"/>
      <c r="D42" s="99" t="s">
        <v>155</v>
      </c>
      <c r="E42" s="8"/>
      <c r="F42" s="8"/>
      <c r="G42" s="1"/>
      <c r="H42" s="1"/>
      <c r="I42" s="1"/>
      <c r="J42" s="1"/>
      <c r="K42" s="1"/>
      <c r="L42" s="1"/>
      <c r="M42" s="1"/>
      <c r="N42" s="1"/>
      <c r="O42" s="1"/>
      <c r="P42" s="1"/>
      <c r="Q42" s="1"/>
      <c r="R42" s="1"/>
      <c r="S42" s="1"/>
      <c r="T42" s="1"/>
      <c r="U42" s="1"/>
      <c r="V42" s="1"/>
      <c r="W42" s="1"/>
      <c r="X42" s="1"/>
      <c r="Y42" s="1"/>
      <c r="Z42" s="1"/>
    </row>
    <row r="43" ht="15.75" customHeight="1">
      <c r="A43" s="1"/>
      <c r="B43" s="104" t="s">
        <v>156</v>
      </c>
      <c r="C43" s="99"/>
      <c r="D43" s="99"/>
      <c r="E43" s="8"/>
      <c r="F43" s="8"/>
      <c r="G43" s="1"/>
      <c r="H43" s="1"/>
      <c r="I43" s="1"/>
      <c r="J43" s="1"/>
      <c r="K43" s="1"/>
      <c r="L43" s="1"/>
      <c r="M43" s="1"/>
      <c r="N43" s="1"/>
      <c r="O43" s="1"/>
      <c r="P43" s="1"/>
      <c r="Q43" s="1"/>
      <c r="R43" s="1"/>
      <c r="S43" s="1"/>
      <c r="T43" s="1"/>
      <c r="U43" s="1"/>
      <c r="V43" s="1"/>
      <c r="W43" s="1"/>
      <c r="X43" s="1"/>
      <c r="Y43" s="1"/>
      <c r="Z43" s="1"/>
    </row>
    <row r="44" ht="15.75" customHeight="1">
      <c r="A44" s="1"/>
      <c r="B44" s="8" t="s">
        <v>157</v>
      </c>
      <c r="C44" s="8"/>
      <c r="D44" s="8"/>
      <c r="E44" s="8"/>
      <c r="F44" s="8"/>
      <c r="G44" s="1"/>
      <c r="H44" s="1"/>
      <c r="I44" s="1"/>
      <c r="J44" s="1"/>
      <c r="K44" s="1"/>
      <c r="L44" s="1"/>
      <c r="M44" s="1"/>
      <c r="N44" s="1"/>
      <c r="O44" s="1"/>
      <c r="P44" s="1"/>
      <c r="Q44" s="1"/>
      <c r="R44" s="1"/>
      <c r="S44" s="1"/>
      <c r="T44" s="1"/>
      <c r="U44" s="1"/>
      <c r="V44" s="1"/>
      <c r="W44" s="1"/>
      <c r="X44" s="1"/>
      <c r="Y44" s="1"/>
      <c r="Z44" s="1"/>
    </row>
    <row r="45" ht="15.75" customHeight="1">
      <c r="A45" s="1"/>
      <c r="B45" s="8" t="s">
        <v>158</v>
      </c>
      <c r="C45" s="8"/>
      <c r="D45" s="8"/>
      <c r="E45" s="8"/>
      <c r="F45" s="8"/>
      <c r="G45" s="1"/>
      <c r="H45" s="1"/>
      <c r="I45" s="1"/>
      <c r="J45" s="1"/>
      <c r="K45" s="1"/>
      <c r="L45" s="1"/>
      <c r="M45" s="1"/>
      <c r="N45" s="1"/>
      <c r="O45" s="1"/>
      <c r="P45" s="1"/>
      <c r="Q45" s="1"/>
      <c r="R45" s="1"/>
      <c r="S45" s="1"/>
      <c r="T45" s="1"/>
      <c r="U45" s="1"/>
      <c r="V45" s="1"/>
      <c r="W45" s="1"/>
      <c r="X45" s="1"/>
      <c r="Y45" s="1"/>
      <c r="Z45" s="1"/>
    </row>
    <row r="46" ht="15.75" customHeight="1">
      <c r="A46" s="1"/>
      <c r="B46" s="8" t="s">
        <v>159</v>
      </c>
      <c r="C46" s="8"/>
      <c r="D46" s="8"/>
      <c r="E46" s="8"/>
      <c r="F46" s="8"/>
      <c r="G46" s="1"/>
      <c r="H46" s="1"/>
      <c r="I46" s="1"/>
      <c r="J46" s="1"/>
      <c r="K46" s="1"/>
      <c r="L46" s="1"/>
      <c r="M46" s="1"/>
      <c r="N46" s="1"/>
      <c r="O46" s="1"/>
      <c r="P46" s="1"/>
      <c r="Q46" s="1"/>
      <c r="R46" s="1"/>
      <c r="S46" s="1"/>
      <c r="T46" s="1"/>
      <c r="U46" s="1"/>
      <c r="V46" s="1"/>
      <c r="W46" s="1"/>
      <c r="X46" s="1"/>
      <c r="Y46" s="1"/>
      <c r="Z46" s="1"/>
    </row>
    <row r="47" ht="15.75" customHeight="1">
      <c r="A47" s="1"/>
      <c r="B47" s="8" t="s">
        <v>160</v>
      </c>
      <c r="C47" s="8"/>
      <c r="D47" s="8"/>
      <c r="E47" s="8"/>
      <c r="F47" s="8"/>
      <c r="G47" s="1"/>
      <c r="H47" s="1"/>
      <c r="I47" s="1"/>
      <c r="J47" s="1"/>
      <c r="K47" s="1"/>
      <c r="L47" s="1"/>
      <c r="M47" s="1"/>
      <c r="N47" s="1"/>
      <c r="O47" s="1"/>
      <c r="P47" s="1"/>
      <c r="Q47" s="1"/>
      <c r="R47" s="1"/>
      <c r="S47" s="1"/>
      <c r="T47" s="1"/>
      <c r="U47" s="1"/>
      <c r="V47" s="1"/>
      <c r="W47" s="1"/>
      <c r="X47" s="1"/>
      <c r="Y47" s="1"/>
      <c r="Z47" s="1"/>
    </row>
    <row r="48" ht="15.75" customHeight="1">
      <c r="A48" s="1"/>
      <c r="B48" s="8" t="s">
        <v>161</v>
      </c>
      <c r="C48" s="8"/>
      <c r="D48" s="8"/>
      <c r="E48" s="8"/>
      <c r="F48" s="8"/>
      <c r="G48" s="1"/>
      <c r="H48" s="1"/>
      <c r="I48" s="1"/>
      <c r="J48" s="1"/>
      <c r="K48" s="1"/>
      <c r="L48" s="1"/>
      <c r="M48" s="1"/>
      <c r="N48" s="1"/>
      <c r="O48" s="1"/>
      <c r="P48" s="1"/>
      <c r="Q48" s="1"/>
      <c r="R48" s="1"/>
      <c r="S48" s="1"/>
      <c r="T48" s="1"/>
      <c r="U48" s="1"/>
      <c r="V48" s="1"/>
      <c r="W48" s="1"/>
      <c r="X48" s="1"/>
      <c r="Y48" s="1"/>
      <c r="Z48" s="1"/>
    </row>
    <row r="49" ht="15.75" customHeight="1">
      <c r="A49" s="1"/>
      <c r="B49" s="8" t="s">
        <v>197</v>
      </c>
      <c r="C49" s="8"/>
      <c r="D49" s="8"/>
      <c r="E49" s="8"/>
      <c r="F49" s="8"/>
      <c r="G49" s="1"/>
      <c r="H49" s="1"/>
      <c r="I49" s="1"/>
      <c r="J49" s="1"/>
      <c r="K49" s="1"/>
      <c r="L49" s="1"/>
      <c r="M49" s="1"/>
      <c r="N49" s="1"/>
      <c r="O49" s="1"/>
      <c r="P49" s="1"/>
      <c r="Q49" s="1"/>
      <c r="R49" s="1"/>
      <c r="S49" s="1"/>
      <c r="T49" s="1"/>
      <c r="U49" s="1"/>
      <c r="V49" s="1"/>
      <c r="W49" s="1"/>
      <c r="X49" s="1"/>
      <c r="Y49" s="1"/>
      <c r="Z49" s="1"/>
    </row>
    <row r="50" ht="15.75" customHeight="1">
      <c r="A50" s="1"/>
      <c r="B50" s="8"/>
      <c r="C50" s="8"/>
      <c r="D50" s="8"/>
      <c r="E50" s="8"/>
      <c r="F50" s="8"/>
      <c r="G50" s="1"/>
      <c r="H50" s="1"/>
      <c r="I50" s="1"/>
      <c r="J50" s="1"/>
      <c r="K50" s="1"/>
      <c r="L50" s="1"/>
      <c r="M50" s="1"/>
      <c r="N50" s="1"/>
      <c r="O50" s="1"/>
      <c r="P50" s="1"/>
      <c r="Q50" s="1"/>
      <c r="R50" s="1"/>
      <c r="S50" s="1"/>
      <c r="T50" s="1"/>
      <c r="U50" s="1"/>
      <c r="V50" s="1"/>
      <c r="W50" s="1"/>
      <c r="X50" s="1"/>
      <c r="Y50" s="1"/>
      <c r="Z50" s="1"/>
    </row>
    <row r="51" ht="15.75" customHeight="1">
      <c r="A51" s="1"/>
      <c r="B51" s="8"/>
      <c r="C51" s="8"/>
      <c r="D51" s="8"/>
      <c r="E51" s="8"/>
      <c r="F51" s="8"/>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r:id="rId1" ref="B3"/>
    <hyperlink display="Return to Home" location="TOC!A1" ref="G3"/>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110" t="s">
        <v>8</v>
      </c>
      <c r="B3" s="84" t="s">
        <v>247</v>
      </c>
      <c r="C3" s="85" t="s">
        <v>267</v>
      </c>
      <c r="D3" s="86"/>
      <c r="E3" s="86"/>
      <c r="G3" s="87" t="s">
        <v>105</v>
      </c>
      <c r="H3" s="1"/>
      <c r="I3" s="1"/>
      <c r="J3" s="1"/>
      <c r="K3" s="1"/>
      <c r="L3" s="1"/>
      <c r="M3" s="1"/>
      <c r="N3" s="1"/>
      <c r="O3" s="1"/>
      <c r="P3" s="1"/>
      <c r="Q3" s="1"/>
      <c r="R3" s="1"/>
      <c r="S3" s="1"/>
      <c r="T3" s="1"/>
      <c r="U3" s="1"/>
      <c r="V3" s="1"/>
      <c r="W3" s="1"/>
      <c r="X3" s="1"/>
      <c r="Y3" s="1"/>
      <c r="Z3" s="1"/>
    </row>
    <row r="4">
      <c r="A4" s="108" t="s">
        <v>268</v>
      </c>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269</v>
      </c>
      <c r="C6" s="88" t="s">
        <v>25</v>
      </c>
      <c r="D6" s="88" t="s">
        <v>26</v>
      </c>
      <c r="E6" s="88" t="s">
        <v>27</v>
      </c>
      <c r="F6" s="88" t="s">
        <v>28</v>
      </c>
      <c r="G6" s="1"/>
      <c r="H6" s="1"/>
      <c r="I6" s="1"/>
      <c r="J6" s="1"/>
      <c r="K6" s="1"/>
      <c r="L6" s="1"/>
      <c r="M6" s="1"/>
      <c r="N6" s="1"/>
      <c r="O6" s="1"/>
      <c r="P6" s="1"/>
      <c r="Q6" s="1"/>
      <c r="R6" s="1"/>
      <c r="S6" s="1"/>
      <c r="T6" s="1"/>
      <c r="U6" s="1"/>
      <c r="V6" s="1"/>
      <c r="W6" s="1"/>
      <c r="X6" s="1"/>
      <c r="Y6" s="1"/>
      <c r="Z6" s="1"/>
    </row>
    <row r="7">
      <c r="A7" s="89" t="s">
        <v>107</v>
      </c>
      <c r="B7" s="107" t="str">
        <f>HYPERLINK("https://www.qualtrics.com/marketplace/conjoint-package-analysis/","https://www.qualtrics.com/marketplace/conjoint-package-analysis/")</f>
        <v>https://www.qualtrics.com/marketplace/conjoint-package-analysis/</v>
      </c>
      <c r="C7" s="91" t="s">
        <v>270</v>
      </c>
      <c r="D7" s="91" t="s">
        <v>271</v>
      </c>
      <c r="E7" s="91" t="s">
        <v>272</v>
      </c>
      <c r="F7" s="9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92" t="s">
        <v>53</v>
      </c>
      <c r="B9" s="104" t="s">
        <v>170</v>
      </c>
      <c r="C9" s="109" t="s">
        <v>112</v>
      </c>
      <c r="D9" s="109" t="s">
        <v>113</v>
      </c>
      <c r="E9" s="109" t="s">
        <v>113</v>
      </c>
      <c r="F9" s="16"/>
      <c r="G9" s="1"/>
      <c r="H9" s="1"/>
      <c r="I9" s="1"/>
      <c r="J9" s="1"/>
      <c r="K9" s="1"/>
      <c r="L9" s="1"/>
      <c r="M9" s="1"/>
      <c r="N9" s="1"/>
      <c r="O9" s="1"/>
      <c r="P9" s="1"/>
      <c r="Q9" s="1"/>
      <c r="R9" s="1"/>
      <c r="S9" s="1"/>
      <c r="T9" s="1"/>
      <c r="U9" s="1"/>
      <c r="V9" s="1"/>
      <c r="W9" s="1"/>
      <c r="X9" s="1"/>
      <c r="Y9" s="1"/>
      <c r="Z9" s="1"/>
    </row>
    <row r="10">
      <c r="A10" s="93"/>
      <c r="B10" s="3" t="s">
        <v>171</v>
      </c>
      <c r="C10" s="109" t="s">
        <v>273</v>
      </c>
      <c r="D10" s="109" t="s">
        <v>273</v>
      </c>
      <c r="E10" s="109" t="s">
        <v>274</v>
      </c>
      <c r="F10" s="16"/>
      <c r="G10" s="1"/>
      <c r="H10" s="1"/>
      <c r="I10" s="1"/>
      <c r="J10" s="1"/>
      <c r="K10" s="1"/>
      <c r="L10" s="1"/>
      <c r="M10" s="1"/>
      <c r="N10" s="1"/>
      <c r="O10" s="1"/>
      <c r="P10" s="1"/>
      <c r="Q10" s="1"/>
      <c r="R10" s="1"/>
      <c r="S10" s="1"/>
      <c r="T10" s="1"/>
      <c r="U10" s="1"/>
      <c r="V10" s="1"/>
      <c r="W10" s="1"/>
      <c r="X10" s="1"/>
      <c r="Y10" s="1"/>
      <c r="Z10" s="1"/>
    </row>
    <row r="11" ht="15.75" customHeight="1">
      <c r="A11" s="93"/>
      <c r="B11" s="3" t="s">
        <v>173</v>
      </c>
      <c r="C11" s="91" t="s">
        <v>255</v>
      </c>
      <c r="D11" s="91" t="s">
        <v>255</v>
      </c>
      <c r="E11" s="91" t="s">
        <v>255</v>
      </c>
      <c r="F11" s="16"/>
      <c r="G11" s="1"/>
      <c r="H11" s="1"/>
      <c r="I11" s="1"/>
      <c r="J11" s="1"/>
      <c r="K11" s="1"/>
      <c r="L11" s="1"/>
      <c r="M11" s="1"/>
      <c r="N11" s="1"/>
      <c r="O11" s="1"/>
      <c r="P11" s="1"/>
      <c r="Q11" s="1"/>
      <c r="R11" s="1"/>
      <c r="S11" s="1"/>
      <c r="T11" s="1"/>
      <c r="U11" s="1"/>
      <c r="V11" s="1"/>
      <c r="W11" s="1"/>
      <c r="X11" s="1"/>
      <c r="Y11" s="1"/>
      <c r="Z11" s="1"/>
    </row>
    <row r="12" ht="15.75" customHeight="1">
      <c r="A12" s="93"/>
      <c r="B12" s="3" t="s">
        <v>176</v>
      </c>
      <c r="C12" s="91" t="s">
        <v>120</v>
      </c>
      <c r="D12" s="91" t="s">
        <v>120</v>
      </c>
      <c r="E12" s="91" t="s">
        <v>120</v>
      </c>
      <c r="F12" s="16"/>
      <c r="G12" s="1"/>
      <c r="H12" s="1"/>
      <c r="I12" s="1"/>
      <c r="J12" s="1"/>
      <c r="K12" s="1"/>
      <c r="L12" s="1"/>
      <c r="M12" s="1"/>
      <c r="N12" s="1"/>
      <c r="O12" s="1"/>
      <c r="P12" s="1"/>
      <c r="Q12" s="1"/>
      <c r="R12" s="1"/>
      <c r="S12" s="1"/>
      <c r="T12" s="1"/>
      <c r="U12" s="1"/>
      <c r="V12" s="1"/>
      <c r="W12" s="1"/>
      <c r="X12" s="1"/>
      <c r="Y12" s="1"/>
      <c r="Z12" s="1"/>
    </row>
    <row r="13" ht="15.75" customHeight="1">
      <c r="A13" s="93"/>
      <c r="B13" s="3"/>
      <c r="C13" s="91"/>
      <c r="D13" s="91"/>
      <c r="E13" s="91"/>
      <c r="F13" s="16"/>
      <c r="G13" s="1"/>
      <c r="H13" s="1"/>
      <c r="I13" s="1"/>
      <c r="J13" s="1"/>
      <c r="K13" s="1"/>
      <c r="L13" s="1"/>
      <c r="M13" s="1"/>
      <c r="N13" s="1"/>
      <c r="O13" s="1"/>
      <c r="P13" s="1"/>
      <c r="Q13" s="1"/>
      <c r="R13" s="1"/>
      <c r="S13" s="1"/>
      <c r="T13" s="1"/>
      <c r="U13" s="1"/>
      <c r="V13" s="1"/>
      <c r="W13" s="1"/>
      <c r="X13" s="1"/>
      <c r="Y13" s="1"/>
      <c r="Z13" s="1"/>
    </row>
    <row r="14" ht="15.75" customHeight="1">
      <c r="A14" s="93"/>
      <c r="B14" s="3"/>
      <c r="C14" s="16"/>
      <c r="D14" s="16"/>
      <c r="E14" s="16"/>
      <c r="F14" s="3"/>
      <c r="G14" s="1"/>
      <c r="H14" s="1"/>
      <c r="I14" s="1"/>
      <c r="J14" s="1"/>
      <c r="K14" s="1"/>
      <c r="L14" s="1"/>
      <c r="M14" s="1"/>
      <c r="N14" s="1"/>
      <c r="O14" s="1"/>
      <c r="P14" s="1"/>
      <c r="Q14" s="1"/>
      <c r="R14" s="1"/>
      <c r="S14" s="1"/>
      <c r="T14" s="1"/>
      <c r="U14" s="1"/>
      <c r="V14" s="1"/>
      <c r="W14" s="1"/>
      <c r="X14" s="1"/>
      <c r="Y14" s="1"/>
      <c r="Z14" s="1"/>
    </row>
    <row r="15" ht="15.75" customHeight="1">
      <c r="A15" s="93"/>
      <c r="B15" s="3"/>
      <c r="C15" s="3"/>
      <c r="D15" s="3"/>
      <c r="E15" s="3"/>
      <c r="F15" s="3"/>
      <c r="G15" s="1"/>
      <c r="H15" s="1"/>
      <c r="I15" s="1"/>
      <c r="J15" s="1"/>
      <c r="K15" s="1"/>
      <c r="L15" s="1"/>
      <c r="M15" s="1"/>
      <c r="N15" s="1"/>
      <c r="O15" s="1"/>
      <c r="P15" s="1"/>
      <c r="Q15" s="1"/>
      <c r="R15" s="1"/>
      <c r="S15" s="1"/>
      <c r="T15" s="1"/>
      <c r="U15" s="1"/>
      <c r="V15" s="1"/>
      <c r="W15" s="1"/>
      <c r="X15" s="1"/>
      <c r="Y15" s="1"/>
      <c r="Z15" s="1"/>
    </row>
    <row r="16" ht="15.75" customHeight="1">
      <c r="A16" s="93"/>
      <c r="B16" s="3"/>
      <c r="C16" s="3"/>
      <c r="D16" s="3"/>
      <c r="E16" s="3"/>
      <c r="F16" s="3"/>
      <c r="G16" s="1"/>
      <c r="H16" s="1"/>
      <c r="I16" s="1"/>
      <c r="J16" s="1"/>
      <c r="K16" s="1"/>
      <c r="L16" s="1"/>
      <c r="M16" s="1"/>
      <c r="N16" s="1"/>
      <c r="O16" s="1"/>
      <c r="P16" s="1"/>
      <c r="Q16" s="1"/>
      <c r="R16" s="1"/>
      <c r="S16" s="1"/>
      <c r="T16" s="1"/>
      <c r="U16" s="1"/>
      <c r="V16" s="1"/>
      <c r="W16" s="1"/>
      <c r="X16" s="1"/>
      <c r="Y16" s="1"/>
      <c r="Z16" s="1"/>
    </row>
    <row r="17" ht="15.75" customHeight="1">
      <c r="A17" s="93"/>
      <c r="B17" s="3"/>
      <c r="C17" s="3"/>
      <c r="D17" s="3"/>
      <c r="E17" s="3"/>
      <c r="F17" s="3"/>
      <c r="G17" s="1"/>
      <c r="H17" s="1"/>
      <c r="I17" s="1"/>
      <c r="J17" s="1"/>
      <c r="K17" s="1"/>
      <c r="L17" s="1"/>
      <c r="M17" s="1"/>
      <c r="N17" s="1"/>
      <c r="O17" s="1"/>
      <c r="P17" s="1"/>
      <c r="Q17" s="1"/>
      <c r="R17" s="1"/>
      <c r="S17" s="1"/>
      <c r="T17" s="1"/>
      <c r="U17" s="1"/>
      <c r="V17" s="1"/>
      <c r="W17" s="1"/>
      <c r="X17" s="1"/>
      <c r="Y17" s="1"/>
      <c r="Z17" s="1"/>
    </row>
    <row r="18" ht="15.75" customHeight="1">
      <c r="A18" s="93"/>
      <c r="B18" s="12" t="s">
        <v>275</v>
      </c>
      <c r="C18" s="97">
        <v>20000.0</v>
      </c>
      <c r="D18" s="97">
        <v>23500.0</v>
      </c>
      <c r="E18" s="97">
        <v>25500.0</v>
      </c>
      <c r="F18" s="97" t="s">
        <v>60</v>
      </c>
      <c r="G18" s="1"/>
      <c r="H18" s="1"/>
      <c r="I18" s="1"/>
      <c r="J18" s="1"/>
      <c r="K18" s="1"/>
      <c r="L18" s="1"/>
      <c r="M18" s="1"/>
      <c r="N18" s="1"/>
      <c r="O18" s="1"/>
      <c r="P18" s="1"/>
      <c r="Q18" s="1"/>
      <c r="R18" s="1"/>
      <c r="S18" s="1"/>
      <c r="T18" s="1"/>
      <c r="U18" s="1"/>
      <c r="V18" s="1"/>
      <c r="W18" s="1"/>
      <c r="X18" s="1"/>
      <c r="Y18" s="1"/>
      <c r="Z18" s="1"/>
    </row>
    <row r="19" ht="15.75" customHeight="1">
      <c r="A19" s="1"/>
      <c r="B19" s="5"/>
      <c r="C19" s="5"/>
      <c r="D19" s="5"/>
      <c r="E19" s="5"/>
      <c r="F19" s="5"/>
      <c r="G19" s="1"/>
      <c r="H19" s="1"/>
      <c r="I19" s="1"/>
      <c r="J19" s="1"/>
      <c r="K19" s="1"/>
      <c r="L19" s="1"/>
      <c r="M19" s="1"/>
      <c r="N19" s="1"/>
      <c r="O19" s="1"/>
      <c r="P19" s="1"/>
      <c r="Q19" s="1"/>
      <c r="R19" s="1"/>
      <c r="S19" s="1"/>
      <c r="T19" s="1"/>
      <c r="U19" s="1"/>
      <c r="V19" s="1"/>
      <c r="W19" s="1"/>
      <c r="X19" s="1"/>
      <c r="Y19" s="1"/>
      <c r="Z19" s="1"/>
    </row>
    <row r="20" ht="15.75" customHeight="1">
      <c r="A20" s="92" t="s">
        <v>15</v>
      </c>
      <c r="B20" s="98" t="s">
        <v>276</v>
      </c>
      <c r="C20" s="98" t="s">
        <v>277</v>
      </c>
      <c r="D20" s="98" t="s">
        <v>278</v>
      </c>
      <c r="E20" s="98" t="s">
        <v>279</v>
      </c>
      <c r="F20" s="98" t="s">
        <v>280</v>
      </c>
      <c r="G20" s="1"/>
      <c r="H20" s="1"/>
      <c r="I20" s="1"/>
      <c r="J20" s="1"/>
      <c r="K20" s="1"/>
      <c r="L20" s="1"/>
      <c r="M20" s="1"/>
      <c r="N20" s="1"/>
      <c r="O20" s="1"/>
      <c r="P20" s="1"/>
      <c r="Q20" s="1"/>
      <c r="R20" s="1"/>
      <c r="S20" s="1"/>
      <c r="T20" s="1"/>
      <c r="U20" s="1"/>
      <c r="V20" s="1"/>
      <c r="W20" s="1"/>
      <c r="X20" s="1"/>
      <c r="Y20" s="1"/>
      <c r="Z20" s="1"/>
    </row>
    <row r="21" ht="15.75" customHeight="1">
      <c r="A21" s="93"/>
      <c r="B21" s="97"/>
      <c r="C21" s="97"/>
      <c r="D21" s="97"/>
      <c r="E21" s="97"/>
      <c r="F21" s="97"/>
      <c r="G21" s="1"/>
      <c r="H21" s="1"/>
      <c r="I21" s="1"/>
      <c r="J21" s="1"/>
      <c r="K21" s="1"/>
      <c r="L21" s="1"/>
      <c r="M21" s="1"/>
      <c r="N21" s="1"/>
      <c r="O21" s="1"/>
      <c r="P21" s="1"/>
      <c r="Q21" s="1"/>
      <c r="R21" s="1"/>
      <c r="S21" s="1"/>
      <c r="T21" s="1"/>
      <c r="U21" s="1"/>
      <c r="V21" s="1"/>
      <c r="W21" s="1"/>
      <c r="X21" s="1"/>
      <c r="Y21" s="1"/>
      <c r="Z21" s="1"/>
    </row>
    <row r="22" ht="15.75" customHeight="1">
      <c r="A22" s="93"/>
      <c r="B22" s="97" t="s">
        <v>125</v>
      </c>
      <c r="C22" s="97" t="s">
        <v>125</v>
      </c>
      <c r="D22" s="97" t="s">
        <v>125</v>
      </c>
      <c r="E22" s="97" t="s">
        <v>125</v>
      </c>
      <c r="F22" s="97" t="s">
        <v>125</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92" t="s">
        <v>126</v>
      </c>
      <c r="B24" s="16" t="s">
        <v>186</v>
      </c>
      <c r="C24" s="95" t="s">
        <v>187</v>
      </c>
      <c r="D24" s="95" t="s">
        <v>127</v>
      </c>
      <c r="E24" s="95" t="s">
        <v>127</v>
      </c>
      <c r="F24" s="16"/>
      <c r="G24" s="1"/>
      <c r="H24" s="1"/>
      <c r="I24" s="1"/>
      <c r="J24" s="1"/>
      <c r="K24" s="1"/>
      <c r="L24" s="1"/>
      <c r="M24" s="1"/>
      <c r="N24" s="1"/>
      <c r="O24" s="1"/>
      <c r="P24" s="1"/>
      <c r="Q24" s="1"/>
      <c r="R24" s="1"/>
      <c r="S24" s="1"/>
      <c r="T24" s="1"/>
      <c r="U24" s="1"/>
      <c r="V24" s="1"/>
      <c r="W24" s="1"/>
      <c r="X24" s="1"/>
      <c r="Y24" s="1"/>
      <c r="Z24" s="1"/>
    </row>
    <row r="25" ht="15.75" customHeight="1">
      <c r="A25" s="93"/>
      <c r="B25" s="3"/>
      <c r="C25" s="16" t="s">
        <v>129</v>
      </c>
      <c r="D25" s="16" t="s">
        <v>129</v>
      </c>
      <c r="E25" s="16" t="s">
        <v>129</v>
      </c>
      <c r="F25" s="16"/>
      <c r="G25" s="1"/>
      <c r="H25" s="1"/>
      <c r="I25" s="1"/>
      <c r="J25" s="1"/>
      <c r="K25" s="1"/>
      <c r="L25" s="1"/>
      <c r="M25" s="1"/>
      <c r="N25" s="1"/>
      <c r="O25" s="1"/>
      <c r="P25" s="1"/>
      <c r="Q25" s="1"/>
      <c r="R25" s="1"/>
      <c r="S25" s="1"/>
      <c r="T25" s="1"/>
      <c r="U25" s="1"/>
      <c r="V25" s="1"/>
      <c r="W25" s="1"/>
      <c r="X25" s="1"/>
      <c r="Y25" s="1"/>
      <c r="Z25" s="1"/>
    </row>
    <row r="26" ht="15.75" customHeight="1">
      <c r="A26" s="93"/>
      <c r="B26" s="3"/>
      <c r="C26" s="16" t="s">
        <v>130</v>
      </c>
      <c r="D26" s="16" t="s">
        <v>130</v>
      </c>
      <c r="E26" s="16" t="s">
        <v>130</v>
      </c>
      <c r="F26" s="16"/>
      <c r="G26" s="1"/>
      <c r="H26" s="1"/>
      <c r="I26" s="1"/>
      <c r="J26" s="1"/>
      <c r="K26" s="1"/>
      <c r="L26" s="1"/>
      <c r="M26" s="1"/>
      <c r="N26" s="1"/>
      <c r="O26" s="1"/>
      <c r="P26" s="1"/>
      <c r="Q26" s="1"/>
      <c r="R26" s="1"/>
      <c r="S26" s="1"/>
      <c r="T26" s="1"/>
      <c r="U26" s="1"/>
      <c r="V26" s="1"/>
      <c r="W26" s="1"/>
      <c r="X26" s="1"/>
      <c r="Y26" s="1"/>
      <c r="Z26" s="1"/>
    </row>
    <row r="27" ht="15.75" customHeight="1">
      <c r="A27" s="93"/>
      <c r="B27" s="3"/>
      <c r="C27" s="109" t="s">
        <v>273</v>
      </c>
      <c r="D27" s="109" t="s">
        <v>273</v>
      </c>
      <c r="E27" s="109" t="s">
        <v>274</v>
      </c>
      <c r="F27" s="16"/>
      <c r="G27" s="1"/>
      <c r="H27" s="1"/>
      <c r="I27" s="1"/>
      <c r="J27" s="1"/>
      <c r="K27" s="1"/>
      <c r="L27" s="1"/>
      <c r="M27" s="1"/>
      <c r="N27" s="1"/>
      <c r="O27" s="1"/>
      <c r="P27" s="1"/>
      <c r="Q27" s="1"/>
      <c r="R27" s="1"/>
      <c r="S27" s="1"/>
      <c r="T27" s="1"/>
      <c r="U27" s="1"/>
      <c r="V27" s="1"/>
      <c r="W27" s="1"/>
      <c r="X27" s="1"/>
      <c r="Y27" s="1"/>
      <c r="Z27" s="1"/>
    </row>
    <row r="28" ht="15.75" customHeight="1">
      <c r="A28" s="93"/>
      <c r="B28" s="3"/>
      <c r="C28" s="91" t="s">
        <v>261</v>
      </c>
      <c r="D28" s="91" t="s">
        <v>261</v>
      </c>
      <c r="E28" s="91" t="s">
        <v>261</v>
      </c>
      <c r="F28" s="16"/>
      <c r="G28" s="1"/>
      <c r="H28" s="1"/>
      <c r="I28" s="1"/>
      <c r="J28" s="1"/>
      <c r="K28" s="1"/>
      <c r="L28" s="1"/>
      <c r="M28" s="1"/>
      <c r="N28" s="1"/>
      <c r="O28" s="1"/>
      <c r="P28" s="1"/>
      <c r="Q28" s="1"/>
      <c r="R28" s="1"/>
      <c r="S28" s="1"/>
      <c r="T28" s="1"/>
      <c r="U28" s="1"/>
      <c r="V28" s="1"/>
      <c r="W28" s="1"/>
      <c r="X28" s="1"/>
      <c r="Y28" s="1"/>
      <c r="Z28" s="1"/>
    </row>
    <row r="29" ht="15.75" customHeight="1">
      <c r="A29" s="93"/>
      <c r="B29" s="3"/>
      <c r="C29" s="16" t="s">
        <v>131</v>
      </c>
      <c r="D29" s="16" t="s">
        <v>131</v>
      </c>
      <c r="E29" s="16" t="s">
        <v>131</v>
      </c>
      <c r="F29" s="16"/>
      <c r="G29" s="1"/>
      <c r="H29" s="1"/>
      <c r="I29" s="1"/>
      <c r="J29" s="1"/>
      <c r="K29" s="1"/>
      <c r="L29" s="1"/>
      <c r="M29" s="1"/>
      <c r="N29" s="1"/>
      <c r="O29" s="1"/>
      <c r="P29" s="1"/>
      <c r="Q29" s="1"/>
      <c r="R29" s="1"/>
      <c r="S29" s="1"/>
      <c r="T29" s="1"/>
      <c r="U29" s="1"/>
      <c r="V29" s="1"/>
      <c r="W29" s="1"/>
      <c r="X29" s="1"/>
      <c r="Y29" s="1"/>
      <c r="Z29" s="1"/>
    </row>
    <row r="30" ht="15.75" customHeight="1">
      <c r="A30" s="93"/>
      <c r="B30" s="3"/>
      <c r="C30" s="16" t="s">
        <v>132</v>
      </c>
      <c r="D30" s="16" t="s">
        <v>132</v>
      </c>
      <c r="E30" s="16" t="s">
        <v>132</v>
      </c>
      <c r="F30" s="16"/>
      <c r="G30" s="1"/>
      <c r="H30" s="1"/>
      <c r="I30" s="1"/>
      <c r="J30" s="1"/>
      <c r="K30" s="1"/>
      <c r="L30" s="1"/>
      <c r="M30" s="1"/>
      <c r="N30" s="1"/>
      <c r="O30" s="1"/>
      <c r="P30" s="1"/>
      <c r="Q30" s="1"/>
      <c r="R30" s="1"/>
      <c r="S30" s="1"/>
      <c r="T30" s="1"/>
      <c r="U30" s="1"/>
      <c r="V30" s="1"/>
      <c r="W30" s="1"/>
      <c r="X30" s="1"/>
      <c r="Y30" s="1"/>
      <c r="Z30" s="1"/>
    </row>
    <row r="31" ht="15.75" customHeight="1">
      <c r="A31" s="93"/>
      <c r="B31" s="3"/>
      <c r="C31" s="16" t="s">
        <v>263</v>
      </c>
      <c r="D31" s="16" t="s">
        <v>263</v>
      </c>
      <c r="E31" s="16" t="s">
        <v>263</v>
      </c>
      <c r="F31" s="3"/>
      <c r="G31" s="1"/>
      <c r="H31" s="1"/>
      <c r="I31" s="1"/>
      <c r="J31" s="1"/>
      <c r="K31" s="1"/>
      <c r="L31" s="1"/>
      <c r="M31" s="1"/>
      <c r="N31" s="1"/>
      <c r="O31" s="1"/>
      <c r="P31" s="1"/>
      <c r="Q31" s="1"/>
      <c r="R31" s="1"/>
      <c r="S31" s="1"/>
      <c r="T31" s="1"/>
      <c r="U31" s="1"/>
      <c r="V31" s="1"/>
      <c r="W31" s="1"/>
      <c r="X31" s="1"/>
      <c r="Y31" s="1"/>
      <c r="Z31" s="1"/>
    </row>
    <row r="32" ht="15.75" customHeight="1">
      <c r="A32" s="93"/>
      <c r="B32" s="3"/>
      <c r="C32" s="16" t="s">
        <v>134</v>
      </c>
      <c r="D32" s="16" t="s">
        <v>134</v>
      </c>
      <c r="E32" s="16" t="s">
        <v>134</v>
      </c>
      <c r="F32" s="3"/>
      <c r="G32" s="1"/>
      <c r="H32" s="1"/>
      <c r="I32" s="1"/>
      <c r="J32" s="1"/>
      <c r="K32" s="1"/>
      <c r="L32" s="1"/>
      <c r="M32" s="1"/>
      <c r="N32" s="1"/>
      <c r="O32" s="1"/>
      <c r="P32" s="1"/>
      <c r="Q32" s="1"/>
      <c r="R32" s="1"/>
      <c r="S32" s="1"/>
      <c r="T32" s="1"/>
      <c r="U32" s="1"/>
      <c r="V32" s="1"/>
      <c r="W32" s="1"/>
      <c r="X32" s="1"/>
      <c r="Y32" s="1"/>
      <c r="Z32" s="1"/>
    </row>
    <row r="33" ht="15.75" customHeight="1">
      <c r="A33" s="93"/>
      <c r="B33" s="12" t="s">
        <v>275</v>
      </c>
      <c r="C33" s="97">
        <v>13000.0</v>
      </c>
      <c r="D33" s="97">
        <v>18000.0</v>
      </c>
      <c r="E33" s="97">
        <v>18000.0</v>
      </c>
      <c r="F33" s="97" t="s">
        <v>60</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281</v>
      </c>
      <c r="D35" s="97" t="s">
        <v>282</v>
      </c>
      <c r="E35" s="97" t="s">
        <v>283</v>
      </c>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00"/>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01"/>
      <c r="G38" s="1"/>
      <c r="H38" s="1"/>
      <c r="I38" s="1"/>
      <c r="J38" s="1"/>
      <c r="K38" s="1"/>
      <c r="L38" s="1"/>
      <c r="M38" s="1"/>
      <c r="N38" s="1"/>
      <c r="O38" s="1"/>
      <c r="P38" s="1"/>
      <c r="Q38" s="1"/>
      <c r="R38" s="1"/>
      <c r="S38" s="1"/>
      <c r="T38" s="1"/>
      <c r="U38" s="1"/>
      <c r="V38" s="1"/>
      <c r="W38" s="1"/>
      <c r="X38" s="1"/>
      <c r="Y38" s="1"/>
      <c r="Z38" s="1"/>
    </row>
    <row r="39" ht="15.75" customHeight="1">
      <c r="A39" s="1"/>
      <c r="B39" s="8" t="s">
        <v>150</v>
      </c>
      <c r="C39" s="8"/>
      <c r="D39" s="8"/>
      <c r="E39" s="8"/>
      <c r="F39" s="8"/>
      <c r="G39" s="1"/>
      <c r="H39" s="1"/>
      <c r="I39" s="1"/>
      <c r="J39" s="1"/>
      <c r="K39" s="1"/>
      <c r="L39" s="1"/>
      <c r="M39" s="1"/>
      <c r="N39" s="1"/>
      <c r="O39" s="1"/>
      <c r="P39" s="1"/>
      <c r="Q39" s="1"/>
      <c r="R39" s="1"/>
      <c r="S39" s="1"/>
      <c r="T39" s="1"/>
      <c r="U39" s="1"/>
      <c r="V39" s="1"/>
      <c r="W39" s="1"/>
      <c r="X39" s="1"/>
      <c r="Y39" s="1"/>
      <c r="Z39" s="1"/>
    </row>
    <row r="40" ht="15.75" customHeight="1">
      <c r="A40" s="1"/>
      <c r="B40" s="8" t="s">
        <v>151</v>
      </c>
      <c r="C40" s="8"/>
      <c r="D40" s="8"/>
      <c r="E40" s="8"/>
      <c r="F40" s="8"/>
      <c r="G40" s="1"/>
      <c r="H40" s="1"/>
      <c r="I40" s="1"/>
      <c r="J40" s="1"/>
      <c r="K40" s="1"/>
      <c r="L40" s="1"/>
      <c r="M40" s="1"/>
      <c r="N40" s="1"/>
      <c r="O40" s="1"/>
      <c r="P40" s="1"/>
      <c r="Q40" s="1"/>
      <c r="R40" s="1"/>
      <c r="S40" s="1"/>
      <c r="T40" s="1"/>
      <c r="U40" s="1"/>
      <c r="V40" s="1"/>
      <c r="W40" s="1"/>
      <c r="X40" s="1"/>
      <c r="Y40" s="1"/>
      <c r="Z40" s="1"/>
    </row>
    <row r="41" ht="15.75" customHeight="1">
      <c r="A41" s="1"/>
      <c r="B41" s="8" t="s">
        <v>152</v>
      </c>
      <c r="C41" s="99"/>
      <c r="D41" s="99" t="s">
        <v>153</v>
      </c>
      <c r="E41" s="8"/>
      <c r="F41" s="8"/>
      <c r="G41" s="1"/>
      <c r="H41" s="1"/>
      <c r="I41" s="1"/>
      <c r="J41" s="1"/>
      <c r="K41" s="1"/>
      <c r="L41" s="1"/>
      <c r="M41" s="1"/>
      <c r="N41" s="1"/>
      <c r="O41" s="1"/>
      <c r="P41" s="1"/>
      <c r="Q41" s="1"/>
      <c r="R41" s="1"/>
      <c r="S41" s="1"/>
      <c r="T41" s="1"/>
      <c r="U41" s="1"/>
      <c r="V41" s="1"/>
      <c r="W41" s="1"/>
      <c r="X41" s="1"/>
      <c r="Y41" s="1"/>
      <c r="Z41" s="1"/>
    </row>
    <row r="42" ht="15.75" customHeight="1">
      <c r="A42" s="1"/>
      <c r="B42" s="103" t="s">
        <v>154</v>
      </c>
      <c r="C42" s="99"/>
      <c r="D42" s="99" t="s">
        <v>155</v>
      </c>
      <c r="E42" s="8"/>
      <c r="F42" s="8"/>
      <c r="G42" s="1"/>
      <c r="H42" s="1"/>
      <c r="I42" s="1"/>
      <c r="J42" s="1"/>
      <c r="K42" s="1"/>
      <c r="L42" s="1"/>
      <c r="M42" s="1"/>
      <c r="N42" s="1"/>
      <c r="O42" s="1"/>
      <c r="P42" s="1"/>
      <c r="Q42" s="1"/>
      <c r="R42" s="1"/>
      <c r="S42" s="1"/>
      <c r="T42" s="1"/>
      <c r="U42" s="1"/>
      <c r="V42" s="1"/>
      <c r="W42" s="1"/>
      <c r="X42" s="1"/>
      <c r="Y42" s="1"/>
      <c r="Z42" s="1"/>
    </row>
    <row r="43" ht="15.75" customHeight="1">
      <c r="A43" s="1"/>
      <c r="B43" s="104" t="s">
        <v>156</v>
      </c>
      <c r="C43" s="99"/>
      <c r="D43" s="99"/>
      <c r="E43" s="8"/>
      <c r="F43" s="8"/>
      <c r="G43" s="1"/>
      <c r="H43" s="1"/>
      <c r="I43" s="1"/>
      <c r="J43" s="1"/>
      <c r="K43" s="1"/>
      <c r="L43" s="1"/>
      <c r="M43" s="1"/>
      <c r="N43" s="1"/>
      <c r="O43" s="1"/>
      <c r="P43" s="1"/>
      <c r="Q43" s="1"/>
      <c r="R43" s="1"/>
      <c r="S43" s="1"/>
      <c r="T43" s="1"/>
      <c r="U43" s="1"/>
      <c r="V43" s="1"/>
      <c r="W43" s="1"/>
      <c r="X43" s="1"/>
      <c r="Y43" s="1"/>
      <c r="Z43" s="1"/>
    </row>
    <row r="44" ht="15.75" customHeight="1">
      <c r="A44" s="1"/>
      <c r="B44" s="8" t="s">
        <v>157</v>
      </c>
      <c r="C44" s="8"/>
      <c r="D44" s="8"/>
      <c r="E44" s="8"/>
      <c r="F44" s="8"/>
      <c r="G44" s="1"/>
      <c r="H44" s="1"/>
      <c r="I44" s="1"/>
      <c r="J44" s="1"/>
      <c r="K44" s="1"/>
      <c r="L44" s="1"/>
      <c r="M44" s="1"/>
      <c r="N44" s="1"/>
      <c r="O44" s="1"/>
      <c r="P44" s="1"/>
      <c r="Q44" s="1"/>
      <c r="R44" s="1"/>
      <c r="S44" s="1"/>
      <c r="T44" s="1"/>
      <c r="U44" s="1"/>
      <c r="V44" s="1"/>
      <c r="W44" s="1"/>
      <c r="X44" s="1"/>
      <c r="Y44" s="1"/>
      <c r="Z44" s="1"/>
    </row>
    <row r="45" ht="15.75" customHeight="1">
      <c r="A45" s="1"/>
      <c r="B45" s="8" t="s">
        <v>158</v>
      </c>
      <c r="C45" s="8"/>
      <c r="D45" s="8"/>
      <c r="E45" s="8"/>
      <c r="F45" s="8"/>
      <c r="G45" s="1"/>
      <c r="H45" s="1"/>
      <c r="I45" s="1"/>
      <c r="J45" s="1"/>
      <c r="K45" s="1"/>
      <c r="L45" s="1"/>
      <c r="M45" s="1"/>
      <c r="N45" s="1"/>
      <c r="O45" s="1"/>
      <c r="P45" s="1"/>
      <c r="Q45" s="1"/>
      <c r="R45" s="1"/>
      <c r="S45" s="1"/>
      <c r="T45" s="1"/>
      <c r="U45" s="1"/>
      <c r="V45" s="1"/>
      <c r="W45" s="1"/>
      <c r="X45" s="1"/>
      <c r="Y45" s="1"/>
      <c r="Z45" s="1"/>
    </row>
    <row r="46" ht="15.75" customHeight="1">
      <c r="A46" s="1"/>
      <c r="B46" s="8" t="s">
        <v>159</v>
      </c>
      <c r="C46" s="8"/>
      <c r="D46" s="8"/>
      <c r="E46" s="8"/>
      <c r="F46" s="8"/>
      <c r="G46" s="1"/>
      <c r="H46" s="1"/>
      <c r="I46" s="1"/>
      <c r="J46" s="1"/>
      <c r="K46" s="1"/>
      <c r="L46" s="1"/>
      <c r="M46" s="1"/>
      <c r="N46" s="1"/>
      <c r="O46" s="1"/>
      <c r="P46" s="1"/>
      <c r="Q46" s="1"/>
      <c r="R46" s="1"/>
      <c r="S46" s="1"/>
      <c r="T46" s="1"/>
      <c r="U46" s="1"/>
      <c r="V46" s="1"/>
      <c r="W46" s="1"/>
      <c r="X46" s="1"/>
      <c r="Y46" s="1"/>
      <c r="Z46" s="1"/>
    </row>
    <row r="47" ht="15.75" customHeight="1">
      <c r="A47" s="1"/>
      <c r="B47" s="8" t="s">
        <v>160</v>
      </c>
      <c r="C47" s="8"/>
      <c r="D47" s="8"/>
      <c r="E47" s="8"/>
      <c r="F47" s="8"/>
      <c r="G47" s="1"/>
      <c r="H47" s="1"/>
      <c r="I47" s="1"/>
      <c r="J47" s="1"/>
      <c r="K47" s="1"/>
      <c r="L47" s="1"/>
      <c r="M47" s="1"/>
      <c r="N47" s="1"/>
      <c r="O47" s="1"/>
      <c r="P47" s="1"/>
      <c r="Q47" s="1"/>
      <c r="R47" s="1"/>
      <c r="S47" s="1"/>
      <c r="T47" s="1"/>
      <c r="U47" s="1"/>
      <c r="V47" s="1"/>
      <c r="W47" s="1"/>
      <c r="X47" s="1"/>
      <c r="Y47" s="1"/>
      <c r="Z47" s="1"/>
    </row>
    <row r="48" ht="15.75" customHeight="1">
      <c r="A48" s="1"/>
      <c r="B48" s="8" t="s">
        <v>161</v>
      </c>
      <c r="C48" s="8"/>
      <c r="D48" s="8"/>
      <c r="E48" s="8"/>
      <c r="F48" s="8"/>
      <c r="G48" s="1"/>
      <c r="H48" s="1"/>
      <c r="I48" s="1"/>
      <c r="J48" s="1"/>
      <c r="K48" s="1"/>
      <c r="L48" s="1"/>
      <c r="M48" s="1"/>
      <c r="N48" s="1"/>
      <c r="O48" s="1"/>
      <c r="P48" s="1"/>
      <c r="Q48" s="1"/>
      <c r="R48" s="1"/>
      <c r="S48" s="1"/>
      <c r="T48" s="1"/>
      <c r="U48" s="1"/>
      <c r="V48" s="1"/>
      <c r="W48" s="1"/>
      <c r="X48" s="1"/>
      <c r="Y48" s="1"/>
      <c r="Z48" s="1"/>
    </row>
    <row r="49" ht="15.75" customHeight="1">
      <c r="A49" s="1"/>
      <c r="B49" s="8" t="s">
        <v>197</v>
      </c>
      <c r="C49" s="8"/>
      <c r="D49" s="8"/>
      <c r="E49" s="8"/>
      <c r="F49" s="8"/>
      <c r="G49" s="1"/>
      <c r="H49" s="1"/>
      <c r="I49" s="1"/>
      <c r="J49" s="1"/>
      <c r="K49" s="1"/>
      <c r="L49" s="1"/>
      <c r="M49" s="1"/>
      <c r="N49" s="1"/>
      <c r="O49" s="1"/>
      <c r="P49" s="1"/>
      <c r="Q49" s="1"/>
      <c r="R49" s="1"/>
      <c r="S49" s="1"/>
      <c r="T49" s="1"/>
      <c r="U49" s="1"/>
      <c r="V49" s="1"/>
      <c r="W49" s="1"/>
      <c r="X49" s="1"/>
      <c r="Y49" s="1"/>
      <c r="Z49" s="1"/>
    </row>
    <row r="50" ht="15.75" customHeight="1">
      <c r="A50" s="1"/>
      <c r="B50" s="8" t="s">
        <v>284</v>
      </c>
      <c r="C50" s="8"/>
      <c r="D50" s="60">
        <v>2000.0</v>
      </c>
      <c r="E50" s="8"/>
      <c r="F50" s="8"/>
      <c r="G50" s="1"/>
      <c r="H50" s="1"/>
      <c r="I50" s="1"/>
      <c r="J50" s="1"/>
      <c r="K50" s="1"/>
      <c r="L50" s="1"/>
      <c r="M50" s="1"/>
      <c r="N50" s="1"/>
      <c r="O50" s="1"/>
      <c r="P50" s="1"/>
      <c r="Q50" s="1"/>
      <c r="R50" s="1"/>
      <c r="S50" s="1"/>
      <c r="T50" s="1"/>
      <c r="U50" s="1"/>
      <c r="V50" s="1"/>
      <c r="W50" s="1"/>
      <c r="X50" s="1"/>
      <c r="Y50" s="1"/>
      <c r="Z50" s="1"/>
    </row>
    <row r="51" ht="15.75" customHeight="1">
      <c r="A51" s="1"/>
      <c r="B51" s="8" t="s">
        <v>285</v>
      </c>
      <c r="C51" s="8"/>
      <c r="D51" s="60">
        <v>3000.0</v>
      </c>
      <c r="E51" s="8"/>
      <c r="F51" s="8"/>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r:id="rId1" ref="B3"/>
    <hyperlink display="Return to Home" location="TOC!A1" ref="G3"/>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41.0"/>
    <col customWidth="1" min="2" max="5" width="31.0"/>
    <col customWidth="1" min="6" max="6" width="26.44"/>
    <col customWidth="1" min="7" max="26" width="10.56"/>
  </cols>
  <sheetData>
    <row r="1" ht="15.75" customHeight="1">
      <c r="A1" s="111" t="s">
        <v>286</v>
      </c>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10</v>
      </c>
      <c r="B3" s="106" t="str">
        <f>HYPERLINK("https://drive.google.com/file/d/1KLIqnSiRhfUMIG3X_P4wHpXKxQI0ZEac/view?usp=sharing","Segmentation One- Pager")</f>
        <v>Segmentation One- Pager</v>
      </c>
      <c r="C3" s="85" t="s">
        <v>287</v>
      </c>
      <c r="D3" s="86"/>
      <c r="E3" s="86"/>
      <c r="F3" s="1"/>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67.5" customHeight="1">
      <c r="A7" s="89" t="s">
        <v>107</v>
      </c>
      <c r="B7" s="90" t="s">
        <v>108</v>
      </c>
      <c r="C7" s="91" t="s">
        <v>288</v>
      </c>
      <c r="D7" s="112"/>
      <c r="E7" s="112"/>
      <c r="F7" s="91" t="s">
        <v>289</v>
      </c>
      <c r="G7" s="1"/>
      <c r="H7" s="1"/>
      <c r="I7" s="1"/>
      <c r="J7" s="1"/>
      <c r="K7" s="1"/>
      <c r="L7" s="1"/>
      <c r="M7" s="1"/>
      <c r="N7" s="1"/>
      <c r="O7" s="1"/>
      <c r="P7" s="1"/>
      <c r="Q7" s="1"/>
      <c r="R7" s="1"/>
      <c r="S7" s="1"/>
      <c r="T7" s="1"/>
      <c r="U7" s="1"/>
      <c r="V7" s="1"/>
      <c r="W7" s="1"/>
      <c r="X7" s="1"/>
      <c r="Y7" s="1"/>
      <c r="Z7" s="1"/>
    </row>
    <row r="8" ht="15.75" customHeight="1">
      <c r="A8" s="1"/>
      <c r="B8" s="1"/>
      <c r="C8" s="1"/>
      <c r="D8" s="23"/>
      <c r="E8" s="23"/>
      <c r="F8" s="1"/>
      <c r="G8" s="1"/>
      <c r="H8" s="1"/>
      <c r="I8" s="1"/>
      <c r="J8" s="1"/>
      <c r="K8" s="1"/>
      <c r="L8" s="1"/>
      <c r="M8" s="1"/>
      <c r="N8" s="1"/>
      <c r="O8" s="1"/>
      <c r="P8" s="1"/>
      <c r="Q8" s="1"/>
      <c r="R8" s="1"/>
      <c r="S8" s="1"/>
      <c r="T8" s="1"/>
      <c r="U8" s="1"/>
      <c r="V8" s="1"/>
      <c r="W8" s="1"/>
      <c r="X8" s="1"/>
      <c r="Y8" s="1"/>
      <c r="Z8" s="1"/>
    </row>
    <row r="9" ht="15.75" customHeight="1">
      <c r="A9" s="92" t="s">
        <v>53</v>
      </c>
      <c r="B9" s="90"/>
      <c r="C9" s="113" t="s">
        <v>114</v>
      </c>
      <c r="D9" s="55"/>
      <c r="E9" s="55"/>
      <c r="F9" s="114" t="s">
        <v>290</v>
      </c>
      <c r="G9" s="1"/>
      <c r="H9" s="1"/>
      <c r="I9" s="1"/>
      <c r="J9" s="1"/>
      <c r="K9" s="1"/>
      <c r="L9" s="1"/>
      <c r="M9" s="1"/>
      <c r="N9" s="1"/>
      <c r="O9" s="1"/>
      <c r="P9" s="1"/>
      <c r="Q9" s="1"/>
      <c r="R9" s="1"/>
      <c r="S9" s="1"/>
      <c r="T9" s="1"/>
      <c r="U9" s="1"/>
      <c r="V9" s="1"/>
      <c r="W9" s="1"/>
      <c r="X9" s="1"/>
      <c r="Y9" s="1"/>
      <c r="Z9" s="1"/>
    </row>
    <row r="10" ht="15.75" customHeight="1">
      <c r="A10" s="93"/>
      <c r="B10" s="94"/>
      <c r="C10" s="113" t="s">
        <v>291</v>
      </c>
      <c r="D10" s="55"/>
      <c r="E10" s="55"/>
      <c r="F10" s="114"/>
      <c r="G10" s="1"/>
      <c r="H10" s="1"/>
      <c r="I10" s="1"/>
      <c r="J10" s="1"/>
      <c r="K10" s="1"/>
      <c r="L10" s="1"/>
      <c r="M10" s="1"/>
      <c r="N10" s="1"/>
      <c r="O10" s="1"/>
      <c r="P10" s="1"/>
      <c r="Q10" s="1"/>
      <c r="R10" s="1"/>
      <c r="S10" s="1"/>
      <c r="T10" s="1"/>
      <c r="U10" s="1"/>
      <c r="V10" s="1"/>
      <c r="W10" s="1"/>
      <c r="X10" s="1"/>
      <c r="Y10" s="1"/>
      <c r="Z10" s="1"/>
    </row>
    <row r="11" ht="15.75" customHeight="1">
      <c r="A11" s="93"/>
      <c r="B11" s="94"/>
      <c r="C11" s="113"/>
      <c r="D11" s="55"/>
      <c r="E11" s="55"/>
      <c r="F11" s="114"/>
      <c r="G11" s="1"/>
      <c r="H11" s="1"/>
      <c r="I11" s="1"/>
      <c r="J11" s="1"/>
      <c r="K11" s="1"/>
      <c r="L11" s="1"/>
      <c r="M11" s="1"/>
      <c r="N11" s="1"/>
      <c r="O11" s="1"/>
      <c r="P11" s="1"/>
      <c r="Q11" s="1"/>
      <c r="R11" s="1"/>
      <c r="S11" s="1"/>
      <c r="T11" s="1"/>
      <c r="U11" s="1"/>
      <c r="V11" s="1"/>
      <c r="W11" s="1"/>
      <c r="X11" s="1"/>
      <c r="Y11" s="1"/>
      <c r="Z11" s="1"/>
    </row>
    <row r="12" ht="15.75" customHeight="1">
      <c r="A12" s="93"/>
      <c r="B12" s="94"/>
      <c r="C12" s="115"/>
      <c r="D12" s="55"/>
      <c r="E12" s="55"/>
      <c r="F12" s="116"/>
      <c r="G12" s="1"/>
      <c r="H12" s="1"/>
      <c r="I12" s="1"/>
      <c r="J12" s="1"/>
      <c r="K12" s="1"/>
      <c r="L12" s="1"/>
      <c r="M12" s="1"/>
      <c r="N12" s="1"/>
      <c r="O12" s="1"/>
      <c r="P12" s="1"/>
      <c r="Q12" s="1"/>
      <c r="R12" s="1"/>
      <c r="S12" s="1"/>
      <c r="T12" s="1"/>
      <c r="U12" s="1"/>
      <c r="V12" s="1"/>
      <c r="W12" s="1"/>
      <c r="X12" s="1"/>
      <c r="Y12" s="1"/>
      <c r="Z12" s="1"/>
    </row>
    <row r="13" ht="15.75" customHeight="1">
      <c r="A13" s="93"/>
      <c r="B13" s="94"/>
      <c r="C13" s="115"/>
      <c r="D13" s="55"/>
      <c r="E13" s="55"/>
      <c r="F13" s="116"/>
      <c r="G13" s="1"/>
      <c r="H13" s="1"/>
      <c r="I13" s="1"/>
      <c r="J13" s="1"/>
      <c r="K13" s="1"/>
      <c r="L13" s="1"/>
      <c r="M13" s="1"/>
      <c r="N13" s="1"/>
      <c r="O13" s="1"/>
      <c r="P13" s="1"/>
      <c r="Q13" s="1"/>
      <c r="R13" s="1"/>
      <c r="S13" s="1"/>
      <c r="T13" s="1"/>
      <c r="U13" s="1"/>
      <c r="V13" s="1"/>
      <c r="W13" s="1"/>
      <c r="X13" s="1"/>
      <c r="Y13" s="1"/>
      <c r="Z13" s="1"/>
    </row>
    <row r="14" ht="15.75" customHeight="1">
      <c r="A14" s="93"/>
      <c r="B14" s="94"/>
      <c r="C14" s="115"/>
      <c r="D14" s="55"/>
      <c r="E14" s="55"/>
      <c r="F14" s="116"/>
      <c r="G14" s="1"/>
      <c r="H14" s="1"/>
      <c r="I14" s="1"/>
      <c r="J14" s="1"/>
      <c r="K14" s="1"/>
      <c r="L14" s="1"/>
      <c r="M14" s="1"/>
      <c r="N14" s="1"/>
      <c r="O14" s="1"/>
      <c r="P14" s="1"/>
      <c r="Q14" s="1"/>
      <c r="R14" s="1"/>
      <c r="S14" s="1"/>
      <c r="T14" s="1"/>
      <c r="U14" s="1"/>
      <c r="V14" s="1"/>
      <c r="W14" s="1"/>
      <c r="X14" s="1"/>
      <c r="Y14" s="1"/>
      <c r="Z14" s="1"/>
    </row>
    <row r="15" ht="15.75" customHeight="1">
      <c r="A15" s="93"/>
      <c r="B15" s="94"/>
      <c r="C15" s="115"/>
      <c r="D15" s="55"/>
      <c r="E15" s="55"/>
      <c r="F15" s="116"/>
      <c r="G15" s="1"/>
      <c r="H15" s="1"/>
      <c r="I15" s="1"/>
      <c r="J15" s="1"/>
      <c r="K15" s="1"/>
      <c r="L15" s="1"/>
      <c r="M15" s="1"/>
      <c r="N15" s="1"/>
      <c r="O15" s="1"/>
      <c r="P15" s="1"/>
      <c r="Q15" s="1"/>
      <c r="R15" s="1"/>
      <c r="S15" s="1"/>
      <c r="T15" s="1"/>
      <c r="U15" s="1"/>
      <c r="V15" s="1"/>
      <c r="W15" s="1"/>
      <c r="X15" s="1"/>
      <c r="Y15" s="1"/>
      <c r="Z15" s="1"/>
    </row>
    <row r="16" ht="15.75" customHeight="1">
      <c r="A16" s="93"/>
      <c r="B16" s="94"/>
      <c r="C16" s="115"/>
      <c r="D16" s="55"/>
      <c r="E16" s="55"/>
      <c r="F16" s="116"/>
      <c r="G16" s="1"/>
      <c r="H16" s="1"/>
      <c r="I16" s="1"/>
      <c r="J16" s="1"/>
      <c r="K16" s="1"/>
      <c r="L16" s="1"/>
      <c r="M16" s="1"/>
      <c r="N16" s="1"/>
      <c r="O16" s="1"/>
      <c r="P16" s="1"/>
      <c r="Q16" s="1"/>
      <c r="R16" s="1"/>
      <c r="S16" s="1"/>
      <c r="T16" s="1"/>
      <c r="U16" s="1"/>
      <c r="V16" s="1"/>
      <c r="W16" s="1"/>
      <c r="X16" s="1"/>
      <c r="Y16" s="1"/>
      <c r="Z16" s="1"/>
    </row>
    <row r="17" ht="15.75" customHeight="1">
      <c r="A17" s="93"/>
      <c r="B17" s="94"/>
      <c r="C17" s="115"/>
      <c r="D17" s="55"/>
      <c r="E17" s="55"/>
      <c r="F17" s="116"/>
      <c r="G17" s="1"/>
      <c r="H17" s="1"/>
      <c r="I17" s="1"/>
      <c r="J17" s="1"/>
      <c r="K17" s="1"/>
      <c r="L17" s="1"/>
      <c r="M17" s="1"/>
      <c r="N17" s="1"/>
      <c r="O17" s="1"/>
      <c r="P17" s="1"/>
      <c r="Q17" s="1"/>
      <c r="R17" s="1"/>
      <c r="S17" s="1"/>
      <c r="T17" s="1"/>
      <c r="U17" s="1"/>
      <c r="V17" s="1"/>
      <c r="W17" s="1"/>
      <c r="X17" s="1"/>
      <c r="Y17" s="1"/>
      <c r="Z17" s="1"/>
    </row>
    <row r="18" ht="15.75" customHeight="1">
      <c r="A18" s="93"/>
      <c r="B18" s="96" t="s">
        <v>43</v>
      </c>
      <c r="C18" s="117">
        <v>14000.0</v>
      </c>
      <c r="D18" s="55"/>
      <c r="E18" s="55"/>
      <c r="F18" s="118" t="s">
        <v>292</v>
      </c>
      <c r="G18" s="1"/>
      <c r="H18" s="1"/>
      <c r="I18" s="1"/>
      <c r="J18" s="1"/>
      <c r="K18" s="1"/>
      <c r="L18" s="1"/>
      <c r="M18" s="1"/>
      <c r="N18" s="1"/>
      <c r="O18" s="1"/>
      <c r="P18" s="1"/>
      <c r="Q18" s="1"/>
      <c r="R18" s="1"/>
      <c r="S18" s="1"/>
      <c r="T18" s="1"/>
      <c r="U18" s="1"/>
      <c r="V18" s="1"/>
      <c r="W18" s="1"/>
      <c r="X18" s="1"/>
      <c r="Y18" s="1"/>
      <c r="Z18" s="1"/>
    </row>
    <row r="19" ht="15.75" customHeight="1">
      <c r="A19" s="1"/>
      <c r="B19" s="5"/>
      <c r="C19" s="5"/>
      <c r="D19" s="119"/>
      <c r="E19" s="31"/>
      <c r="F19" s="5"/>
      <c r="G19" s="1"/>
      <c r="H19" s="1"/>
      <c r="I19" s="1"/>
      <c r="J19" s="1"/>
      <c r="K19" s="1"/>
      <c r="L19" s="1"/>
      <c r="M19" s="1"/>
      <c r="N19" s="1"/>
      <c r="O19" s="1"/>
      <c r="P19" s="1"/>
      <c r="Q19" s="1"/>
      <c r="R19" s="1"/>
      <c r="S19" s="1"/>
      <c r="T19" s="1"/>
      <c r="U19" s="1"/>
      <c r="V19" s="1"/>
      <c r="W19" s="1"/>
      <c r="X19" s="1"/>
      <c r="Y19" s="1"/>
      <c r="Z19" s="1"/>
    </row>
    <row r="20" ht="15.75" customHeight="1">
      <c r="A20" s="92" t="s">
        <v>15</v>
      </c>
      <c r="B20" s="90"/>
      <c r="C20" s="98" t="s">
        <v>293</v>
      </c>
      <c r="D20" s="120"/>
      <c r="E20" s="55"/>
      <c r="F20" s="98" t="s">
        <v>294</v>
      </c>
      <c r="G20" s="1"/>
      <c r="H20" s="1"/>
      <c r="I20" s="1"/>
      <c r="J20" s="1"/>
      <c r="K20" s="1"/>
      <c r="L20" s="1"/>
      <c r="M20" s="1"/>
      <c r="N20" s="1"/>
      <c r="O20" s="1"/>
      <c r="P20" s="1"/>
      <c r="Q20" s="1"/>
      <c r="R20" s="1"/>
      <c r="S20" s="1"/>
      <c r="T20" s="1"/>
      <c r="U20" s="1"/>
      <c r="V20" s="1"/>
      <c r="W20" s="1"/>
      <c r="X20" s="1"/>
      <c r="Y20" s="1"/>
      <c r="Z20" s="1"/>
    </row>
    <row r="21" ht="15.75" customHeight="1">
      <c r="A21" s="93"/>
      <c r="B21" s="94"/>
      <c r="C21" s="97"/>
      <c r="D21" s="121"/>
      <c r="E21" s="55"/>
      <c r="F21" s="97"/>
      <c r="G21" s="1"/>
      <c r="H21" s="1"/>
      <c r="I21" s="1"/>
      <c r="J21" s="1"/>
      <c r="K21" s="1"/>
      <c r="L21" s="1"/>
      <c r="M21" s="1"/>
      <c r="N21" s="1"/>
      <c r="O21" s="1"/>
      <c r="P21" s="1"/>
      <c r="Q21" s="1"/>
      <c r="R21" s="1"/>
      <c r="S21" s="1"/>
      <c r="T21" s="1"/>
      <c r="U21" s="1"/>
      <c r="V21" s="1"/>
      <c r="W21" s="1"/>
      <c r="X21" s="1"/>
      <c r="Y21" s="1"/>
      <c r="Z21" s="1"/>
    </row>
    <row r="22" ht="15.75" customHeight="1">
      <c r="A22" s="93"/>
      <c r="B22" s="96" t="s">
        <v>43</v>
      </c>
      <c r="C22" s="97" t="s">
        <v>125</v>
      </c>
      <c r="D22" s="121"/>
      <c r="E22" s="55"/>
      <c r="F22" s="97" t="s">
        <v>125</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1"/>
      <c r="F23" s="5"/>
      <c r="G23" s="1"/>
      <c r="H23" s="1"/>
      <c r="I23" s="1"/>
      <c r="J23" s="1"/>
      <c r="K23" s="1"/>
      <c r="L23" s="1"/>
      <c r="M23" s="1"/>
      <c r="N23" s="1"/>
      <c r="O23" s="1"/>
      <c r="P23" s="1"/>
      <c r="Q23" s="1"/>
      <c r="R23" s="1"/>
      <c r="S23" s="1"/>
      <c r="T23" s="1"/>
      <c r="U23" s="1"/>
      <c r="V23" s="1"/>
      <c r="W23" s="1"/>
      <c r="X23" s="1"/>
      <c r="Y23" s="1"/>
      <c r="Z23" s="1"/>
    </row>
    <row r="24" ht="15.75" customHeight="1">
      <c r="A24" s="92" t="s">
        <v>126</v>
      </c>
      <c r="B24" s="90"/>
      <c r="C24" s="16" t="s">
        <v>128</v>
      </c>
      <c r="D24" s="55"/>
      <c r="E24" s="55"/>
      <c r="F24" s="16" t="s">
        <v>295</v>
      </c>
      <c r="G24" s="1"/>
      <c r="H24" s="1"/>
      <c r="I24" s="1"/>
      <c r="J24" s="1"/>
      <c r="K24" s="1"/>
      <c r="L24" s="1"/>
      <c r="M24" s="1"/>
      <c r="N24" s="1"/>
      <c r="O24" s="1"/>
      <c r="P24" s="1"/>
      <c r="Q24" s="1"/>
      <c r="R24" s="1"/>
      <c r="S24" s="1"/>
      <c r="T24" s="1"/>
      <c r="U24" s="1"/>
      <c r="V24" s="1"/>
      <c r="W24" s="1"/>
      <c r="X24" s="1"/>
      <c r="Y24" s="1"/>
      <c r="Z24" s="1"/>
    </row>
    <row r="25" ht="15.75" customHeight="1">
      <c r="A25" s="93"/>
      <c r="B25" s="94"/>
      <c r="C25" s="16" t="s">
        <v>129</v>
      </c>
      <c r="D25" s="55"/>
      <c r="E25" s="55"/>
      <c r="F25" s="16"/>
      <c r="G25" s="1"/>
      <c r="H25" s="1"/>
      <c r="I25" s="1"/>
      <c r="J25" s="1"/>
      <c r="K25" s="1"/>
      <c r="L25" s="1"/>
      <c r="M25" s="1"/>
      <c r="N25" s="1"/>
      <c r="O25" s="1"/>
      <c r="P25" s="1"/>
      <c r="Q25" s="1"/>
      <c r="R25" s="1"/>
      <c r="S25" s="1"/>
      <c r="T25" s="1"/>
      <c r="U25" s="1"/>
      <c r="V25" s="1"/>
      <c r="W25" s="1"/>
      <c r="X25" s="1"/>
      <c r="Y25" s="1"/>
      <c r="Z25" s="1"/>
    </row>
    <row r="26" ht="15.75" customHeight="1">
      <c r="A26" s="93"/>
      <c r="B26" s="94"/>
      <c r="C26" s="16" t="s">
        <v>214</v>
      </c>
      <c r="D26" s="55"/>
      <c r="E26" s="55"/>
      <c r="F26" s="16"/>
      <c r="G26" s="1"/>
      <c r="H26" s="1"/>
      <c r="I26" s="1"/>
      <c r="J26" s="1"/>
      <c r="K26" s="1"/>
      <c r="L26" s="1"/>
      <c r="M26" s="1"/>
      <c r="N26" s="1"/>
      <c r="O26" s="1"/>
      <c r="P26" s="1"/>
      <c r="Q26" s="1"/>
      <c r="R26" s="1"/>
      <c r="S26" s="1"/>
      <c r="T26" s="1"/>
      <c r="U26" s="1"/>
      <c r="V26" s="1"/>
      <c r="W26" s="1"/>
      <c r="X26" s="1"/>
      <c r="Y26" s="1"/>
      <c r="Z26" s="1"/>
    </row>
    <row r="27" ht="15.75" customHeight="1">
      <c r="A27" s="93"/>
      <c r="B27" s="94"/>
      <c r="C27" s="16" t="s">
        <v>296</v>
      </c>
      <c r="D27" s="55"/>
      <c r="E27" s="55"/>
      <c r="F27" s="3"/>
      <c r="G27" s="1"/>
      <c r="H27" s="1"/>
      <c r="I27" s="1"/>
      <c r="J27" s="1"/>
      <c r="K27" s="1"/>
      <c r="L27" s="1"/>
      <c r="M27" s="1"/>
      <c r="N27" s="1"/>
      <c r="O27" s="1"/>
      <c r="P27" s="1"/>
      <c r="Q27" s="1"/>
      <c r="R27" s="1"/>
      <c r="S27" s="1"/>
      <c r="T27" s="1"/>
      <c r="U27" s="1"/>
      <c r="V27" s="1"/>
      <c r="W27" s="1"/>
      <c r="X27" s="1"/>
      <c r="Y27" s="1"/>
      <c r="Z27" s="1"/>
    </row>
    <row r="28" ht="15.75" customHeight="1">
      <c r="A28" s="93"/>
      <c r="B28" s="94"/>
      <c r="C28" s="16" t="s">
        <v>297</v>
      </c>
      <c r="D28" s="55"/>
      <c r="E28" s="55"/>
      <c r="F28" s="3"/>
      <c r="G28" s="1"/>
      <c r="H28" s="1"/>
      <c r="I28" s="1"/>
      <c r="J28" s="1"/>
      <c r="K28" s="1"/>
      <c r="L28" s="1"/>
      <c r="M28" s="1"/>
      <c r="N28" s="1"/>
      <c r="O28" s="1"/>
      <c r="P28" s="1"/>
      <c r="Q28" s="1"/>
      <c r="R28" s="1"/>
      <c r="S28" s="1"/>
      <c r="T28" s="1"/>
      <c r="U28" s="1"/>
      <c r="V28" s="1"/>
      <c r="W28" s="1"/>
      <c r="X28" s="1"/>
      <c r="Y28" s="1"/>
      <c r="Z28" s="1"/>
    </row>
    <row r="29" ht="15.75" customHeight="1">
      <c r="A29" s="93"/>
      <c r="B29" s="94"/>
      <c r="C29" s="16" t="s">
        <v>131</v>
      </c>
      <c r="D29" s="55"/>
      <c r="E29" s="55"/>
      <c r="F29" s="3"/>
      <c r="G29" s="1"/>
      <c r="H29" s="1"/>
      <c r="I29" s="1"/>
      <c r="J29" s="1"/>
      <c r="K29" s="1"/>
      <c r="L29" s="1"/>
      <c r="M29" s="1"/>
      <c r="N29" s="1"/>
      <c r="O29" s="1"/>
      <c r="P29" s="1"/>
      <c r="Q29" s="1"/>
      <c r="R29" s="1"/>
      <c r="S29" s="1"/>
      <c r="T29" s="1"/>
      <c r="U29" s="1"/>
      <c r="V29" s="1"/>
      <c r="W29" s="1"/>
      <c r="X29" s="1"/>
      <c r="Y29" s="1"/>
      <c r="Z29" s="1"/>
    </row>
    <row r="30" ht="15.75" customHeight="1">
      <c r="A30" s="93"/>
      <c r="B30" s="94"/>
      <c r="C30" s="16" t="s">
        <v>298</v>
      </c>
      <c r="D30" s="55"/>
      <c r="E30" s="55"/>
      <c r="F30" s="3"/>
      <c r="G30" s="1"/>
      <c r="H30" s="1"/>
      <c r="I30" s="1"/>
      <c r="J30" s="1"/>
      <c r="K30" s="1"/>
      <c r="L30" s="1"/>
      <c r="M30" s="1"/>
      <c r="N30" s="1"/>
      <c r="O30" s="1"/>
      <c r="P30" s="1"/>
      <c r="Q30" s="1"/>
      <c r="R30" s="1"/>
      <c r="S30" s="1"/>
      <c r="T30" s="1"/>
      <c r="U30" s="1"/>
      <c r="V30" s="1"/>
      <c r="W30" s="1"/>
      <c r="X30" s="1"/>
      <c r="Y30" s="1"/>
      <c r="Z30" s="1"/>
    </row>
    <row r="31" ht="15.75" customHeight="1">
      <c r="A31" s="93"/>
      <c r="B31" s="94"/>
      <c r="C31" s="16" t="s">
        <v>263</v>
      </c>
      <c r="D31" s="55"/>
      <c r="E31" s="55"/>
      <c r="F31" s="3"/>
      <c r="G31" s="1"/>
      <c r="H31" s="1"/>
      <c r="I31" s="1"/>
      <c r="J31" s="1"/>
      <c r="K31" s="1"/>
      <c r="L31" s="1"/>
      <c r="M31" s="1"/>
      <c r="N31" s="1"/>
      <c r="O31" s="1"/>
      <c r="P31" s="1"/>
      <c r="Q31" s="1"/>
      <c r="R31" s="1"/>
      <c r="S31" s="1"/>
      <c r="T31" s="1"/>
      <c r="U31" s="1"/>
      <c r="V31" s="1"/>
      <c r="W31" s="1"/>
      <c r="X31" s="1"/>
      <c r="Y31" s="1"/>
      <c r="Z31" s="1"/>
    </row>
    <row r="32" ht="15.75" customHeight="1">
      <c r="A32" s="93"/>
      <c r="B32" s="94"/>
      <c r="C32" s="16" t="s">
        <v>134</v>
      </c>
      <c r="D32" s="55"/>
      <c r="E32" s="55"/>
      <c r="F32" s="3"/>
      <c r="G32" s="1"/>
      <c r="H32" s="1"/>
      <c r="I32" s="1"/>
      <c r="J32" s="1"/>
      <c r="K32" s="1"/>
      <c r="L32" s="1"/>
      <c r="M32" s="1"/>
      <c r="N32" s="1"/>
      <c r="O32" s="1"/>
      <c r="P32" s="1"/>
      <c r="Q32" s="1"/>
      <c r="R32" s="1"/>
      <c r="S32" s="1"/>
      <c r="T32" s="1"/>
      <c r="U32" s="1"/>
      <c r="V32" s="1"/>
      <c r="W32" s="1"/>
      <c r="X32" s="1"/>
      <c r="Y32" s="1"/>
      <c r="Z32" s="1"/>
    </row>
    <row r="33" ht="15.75" customHeight="1">
      <c r="A33" s="93"/>
      <c r="B33" s="96" t="s">
        <v>43</v>
      </c>
      <c r="C33" s="97">
        <v>43750.0</v>
      </c>
      <c r="D33" s="55"/>
      <c r="E33" s="55"/>
      <c r="F33" s="97" t="s">
        <v>292</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299</v>
      </c>
      <c r="D35" s="121"/>
      <c r="E35" s="121"/>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
      <c r="G38" s="1"/>
      <c r="H38" s="1"/>
      <c r="I38" s="1"/>
      <c r="J38" s="1"/>
      <c r="K38" s="1"/>
      <c r="L38" s="1"/>
      <c r="M38" s="1"/>
      <c r="N38" s="1"/>
      <c r="O38" s="1"/>
      <c r="P38" s="1"/>
      <c r="Q38" s="1"/>
      <c r="R38" s="1"/>
      <c r="S38" s="1"/>
      <c r="T38" s="1"/>
      <c r="U38" s="1"/>
      <c r="V38" s="1"/>
      <c r="W38" s="1"/>
      <c r="X38" s="1"/>
      <c r="Y38" s="1"/>
      <c r="Z38" s="1"/>
    </row>
    <row r="39" ht="15.75" customHeight="1">
      <c r="A39" s="1"/>
      <c r="B39" s="8" t="s">
        <v>94</v>
      </c>
      <c r="C39" s="8"/>
      <c r="D39" s="60">
        <v>2000.0</v>
      </c>
      <c r="E39" s="8"/>
      <c r="F39" s="1"/>
      <c r="G39" s="1"/>
      <c r="H39" s="1"/>
      <c r="I39" s="1"/>
      <c r="J39" s="1"/>
      <c r="K39" s="1"/>
      <c r="L39" s="1"/>
      <c r="M39" s="1"/>
      <c r="N39" s="1"/>
      <c r="O39" s="1"/>
      <c r="P39" s="1"/>
      <c r="Q39" s="1"/>
      <c r="R39" s="1"/>
      <c r="S39" s="1"/>
      <c r="T39" s="1"/>
      <c r="U39" s="1"/>
      <c r="V39" s="1"/>
      <c r="W39" s="1"/>
      <c r="X39" s="1"/>
      <c r="Y39" s="1"/>
      <c r="Z39" s="1"/>
    </row>
    <row r="40" ht="15.75" customHeight="1">
      <c r="A40" s="1"/>
      <c r="B40" s="8" t="s">
        <v>150</v>
      </c>
      <c r="C40" s="8"/>
      <c r="D40" s="8"/>
      <c r="E40" s="8"/>
      <c r="F40" s="1"/>
      <c r="G40" s="1"/>
      <c r="H40" s="1"/>
      <c r="I40" s="1"/>
      <c r="J40" s="1"/>
      <c r="K40" s="1"/>
      <c r="L40" s="1"/>
      <c r="M40" s="1"/>
      <c r="N40" s="1"/>
      <c r="O40" s="1"/>
      <c r="P40" s="1"/>
      <c r="Q40" s="1"/>
      <c r="R40" s="1"/>
      <c r="S40" s="1"/>
      <c r="T40" s="1"/>
      <c r="U40" s="1"/>
      <c r="V40" s="1"/>
      <c r="W40" s="1"/>
      <c r="X40" s="1"/>
      <c r="Y40" s="1"/>
      <c r="Z40" s="1"/>
    </row>
    <row r="41" ht="15.75" customHeight="1">
      <c r="A41" s="1"/>
      <c r="B41" s="8" t="s">
        <v>151</v>
      </c>
      <c r="C41" s="8"/>
      <c r="D41" s="8"/>
      <c r="E41" s="8"/>
      <c r="F41" s="1"/>
      <c r="G41" s="1"/>
      <c r="H41" s="1"/>
      <c r="I41" s="1"/>
      <c r="J41" s="1"/>
      <c r="K41" s="1"/>
      <c r="L41" s="1"/>
      <c r="M41" s="1"/>
      <c r="N41" s="1"/>
      <c r="O41" s="1"/>
      <c r="P41" s="1"/>
      <c r="Q41" s="1"/>
      <c r="R41" s="1"/>
      <c r="S41" s="1"/>
      <c r="T41" s="1"/>
      <c r="U41" s="1"/>
      <c r="V41" s="1"/>
      <c r="W41" s="1"/>
      <c r="X41" s="1"/>
      <c r="Y41" s="1"/>
      <c r="Z41" s="1"/>
    </row>
    <row r="42" ht="15.75" customHeight="1">
      <c r="A42" s="1"/>
      <c r="B42" s="8" t="s">
        <v>152</v>
      </c>
      <c r="C42" s="99"/>
      <c r="D42" s="99" t="s">
        <v>153</v>
      </c>
      <c r="E42" s="99"/>
      <c r="F42" s="1"/>
      <c r="G42" s="1"/>
      <c r="H42" s="1"/>
      <c r="I42" s="1"/>
      <c r="J42" s="1"/>
      <c r="K42" s="1"/>
      <c r="L42" s="1"/>
      <c r="M42" s="1"/>
      <c r="N42" s="1"/>
      <c r="O42" s="1"/>
      <c r="P42" s="1"/>
      <c r="Q42" s="1"/>
      <c r="R42" s="1"/>
      <c r="S42" s="1"/>
      <c r="T42" s="1"/>
      <c r="U42" s="1"/>
      <c r="V42" s="1"/>
      <c r="W42" s="1"/>
      <c r="X42" s="1"/>
      <c r="Y42" s="1"/>
      <c r="Z42" s="1"/>
    </row>
    <row r="43" ht="15.75" customHeight="1">
      <c r="A43" s="1"/>
      <c r="B43" s="103" t="s">
        <v>154</v>
      </c>
      <c r="C43" s="99"/>
      <c r="D43" s="99" t="s">
        <v>155</v>
      </c>
      <c r="E43" s="99"/>
      <c r="F43" s="1"/>
      <c r="G43" s="1"/>
      <c r="H43" s="1"/>
      <c r="I43" s="1"/>
      <c r="J43" s="1"/>
      <c r="K43" s="1"/>
      <c r="L43" s="1"/>
      <c r="M43" s="1"/>
      <c r="N43" s="1"/>
      <c r="O43" s="1"/>
      <c r="P43" s="1"/>
      <c r="Q43" s="1"/>
      <c r="R43" s="1"/>
      <c r="S43" s="1"/>
      <c r="T43" s="1"/>
      <c r="U43" s="1"/>
      <c r="V43" s="1"/>
      <c r="W43" s="1"/>
      <c r="X43" s="1"/>
      <c r="Y43" s="1"/>
      <c r="Z43" s="1"/>
    </row>
    <row r="44" ht="15.75" customHeight="1">
      <c r="A44" s="1"/>
      <c r="B44" s="104" t="s">
        <v>156</v>
      </c>
      <c r="C44" s="99"/>
      <c r="D44" s="99" t="s">
        <v>300</v>
      </c>
      <c r="E44" s="99"/>
      <c r="F44" s="1"/>
      <c r="G44" s="1"/>
      <c r="H44" s="1"/>
      <c r="I44" s="1"/>
      <c r="J44" s="1"/>
      <c r="K44" s="1"/>
      <c r="L44" s="1"/>
      <c r="M44" s="1"/>
      <c r="N44" s="1"/>
      <c r="O44" s="1"/>
      <c r="P44" s="1"/>
      <c r="Q44" s="1"/>
      <c r="R44" s="1"/>
      <c r="S44" s="1"/>
      <c r="T44" s="1"/>
      <c r="U44" s="1"/>
      <c r="V44" s="1"/>
      <c r="W44" s="1"/>
      <c r="X44" s="1"/>
      <c r="Y44" s="1"/>
      <c r="Z44" s="1"/>
    </row>
    <row r="45" ht="15.75" customHeight="1">
      <c r="A45" s="1"/>
      <c r="B45" s="8" t="s">
        <v>225</v>
      </c>
      <c r="C45" s="8"/>
      <c r="D45" s="8"/>
      <c r="E45" s="8"/>
      <c r="F45" s="1"/>
      <c r="G45" s="1"/>
      <c r="H45" s="1"/>
      <c r="I45" s="1"/>
      <c r="J45" s="1"/>
      <c r="K45" s="1"/>
      <c r="L45" s="1"/>
      <c r="M45" s="1"/>
      <c r="N45" s="1"/>
      <c r="O45" s="1"/>
      <c r="P45" s="1"/>
      <c r="Q45" s="1"/>
      <c r="R45" s="1"/>
      <c r="S45" s="1"/>
      <c r="T45" s="1"/>
      <c r="U45" s="1"/>
      <c r="V45" s="1"/>
      <c r="W45" s="1"/>
      <c r="X45" s="1"/>
      <c r="Y45" s="1"/>
      <c r="Z45" s="1"/>
    </row>
    <row r="46" ht="15.75" customHeight="1">
      <c r="A46" s="1"/>
      <c r="B46" s="8" t="s">
        <v>233</v>
      </c>
      <c r="C46" s="99"/>
      <c r="D46" s="99"/>
      <c r="E46" s="99"/>
      <c r="F46" s="1"/>
      <c r="G46" s="1"/>
      <c r="H46" s="1"/>
      <c r="I46" s="1"/>
      <c r="J46" s="1"/>
      <c r="K46" s="1"/>
      <c r="L46" s="1"/>
      <c r="M46" s="1"/>
      <c r="N46" s="1"/>
      <c r="O46" s="1"/>
      <c r="P46" s="1"/>
      <c r="Q46" s="1"/>
      <c r="R46" s="1"/>
      <c r="S46" s="1"/>
      <c r="T46" s="1"/>
      <c r="U46" s="1"/>
      <c r="V46" s="1"/>
      <c r="W46" s="1"/>
      <c r="X46" s="1"/>
      <c r="Y46" s="1"/>
      <c r="Z46" s="1"/>
    </row>
    <row r="47" ht="15.75" customHeight="1">
      <c r="A47" s="1"/>
      <c r="B47" s="8" t="s">
        <v>157</v>
      </c>
      <c r="C47" s="8"/>
      <c r="D47" s="8"/>
      <c r="E47" s="8"/>
      <c r="F47" s="1"/>
      <c r="G47" s="1"/>
      <c r="H47" s="1"/>
      <c r="I47" s="1"/>
      <c r="J47" s="1"/>
      <c r="K47" s="1"/>
      <c r="L47" s="1"/>
      <c r="M47" s="1"/>
      <c r="N47" s="1"/>
      <c r="O47" s="1"/>
      <c r="P47" s="1"/>
      <c r="Q47" s="1"/>
      <c r="R47" s="1"/>
      <c r="S47" s="1"/>
      <c r="T47" s="1"/>
      <c r="U47" s="1"/>
      <c r="V47" s="1"/>
      <c r="W47" s="1"/>
      <c r="X47" s="1"/>
      <c r="Y47" s="1"/>
      <c r="Z47" s="1"/>
    </row>
    <row r="48" ht="15.75" customHeight="1">
      <c r="A48" s="1"/>
      <c r="B48" s="8" t="s">
        <v>158</v>
      </c>
      <c r="C48" s="8"/>
      <c r="D48" s="8"/>
      <c r="E48" s="8"/>
      <c r="F48" s="1"/>
      <c r="G48" s="1"/>
      <c r="H48" s="1"/>
      <c r="I48" s="1"/>
      <c r="J48" s="1"/>
      <c r="K48" s="1"/>
      <c r="L48" s="1"/>
      <c r="M48" s="1"/>
      <c r="N48" s="1"/>
      <c r="O48" s="1"/>
      <c r="P48" s="1"/>
      <c r="Q48" s="1"/>
      <c r="R48" s="1"/>
      <c r="S48" s="1"/>
      <c r="T48" s="1"/>
      <c r="U48" s="1"/>
      <c r="V48" s="1"/>
      <c r="W48" s="1"/>
      <c r="X48" s="1"/>
      <c r="Y48" s="1"/>
      <c r="Z48" s="1"/>
    </row>
    <row r="49" ht="15.75" customHeight="1">
      <c r="A49" s="1"/>
      <c r="B49" s="8" t="s">
        <v>234</v>
      </c>
      <c r="C49" s="8"/>
      <c r="D49" s="8"/>
      <c r="E49" s="8"/>
      <c r="F49" s="1"/>
      <c r="G49" s="1"/>
      <c r="H49" s="1"/>
      <c r="I49" s="1"/>
      <c r="J49" s="1"/>
      <c r="K49" s="1"/>
      <c r="L49" s="1"/>
      <c r="M49" s="1"/>
      <c r="N49" s="1"/>
      <c r="O49" s="1"/>
      <c r="P49" s="1"/>
      <c r="Q49" s="1"/>
      <c r="R49" s="1"/>
      <c r="S49" s="1"/>
      <c r="T49" s="1"/>
      <c r="U49" s="1"/>
      <c r="V49" s="1"/>
      <c r="W49" s="1"/>
      <c r="X49" s="1"/>
      <c r="Y49" s="1"/>
      <c r="Z49" s="1"/>
    </row>
    <row r="50" ht="15.75" customHeight="1">
      <c r="A50" s="1"/>
      <c r="B50" s="8" t="s">
        <v>235</v>
      </c>
      <c r="C50" s="8"/>
      <c r="D50" s="8"/>
      <c r="E50" s="8"/>
      <c r="F50" s="1"/>
      <c r="G50" s="1"/>
      <c r="H50" s="1"/>
      <c r="I50" s="1"/>
      <c r="J50" s="1"/>
      <c r="K50" s="1"/>
      <c r="L50" s="1"/>
      <c r="M50" s="1"/>
      <c r="N50" s="1"/>
      <c r="O50" s="1"/>
      <c r="P50" s="1"/>
      <c r="Q50" s="1"/>
      <c r="R50" s="1"/>
      <c r="S50" s="1"/>
      <c r="T50" s="1"/>
      <c r="U50" s="1"/>
      <c r="V50" s="1"/>
      <c r="W50" s="1"/>
      <c r="X50" s="1"/>
      <c r="Y50" s="1"/>
      <c r="Z50" s="1"/>
    </row>
    <row r="51" ht="15.75" customHeight="1">
      <c r="A51" s="1"/>
      <c r="B51" s="8" t="s">
        <v>159</v>
      </c>
      <c r="C51" s="8"/>
      <c r="D51" s="8"/>
      <c r="E51" s="8"/>
      <c r="F51" s="1"/>
      <c r="G51" s="1"/>
      <c r="H51" s="1"/>
      <c r="I51" s="1"/>
      <c r="J51" s="1"/>
      <c r="K51" s="1"/>
      <c r="L51" s="1"/>
      <c r="M51" s="1"/>
      <c r="N51" s="1"/>
      <c r="O51" s="1"/>
      <c r="P51" s="1"/>
      <c r="Q51" s="1"/>
      <c r="R51" s="1"/>
      <c r="S51" s="1"/>
      <c r="T51" s="1"/>
      <c r="U51" s="1"/>
      <c r="V51" s="1"/>
      <c r="W51" s="1"/>
      <c r="X51" s="1"/>
      <c r="Y51" s="1"/>
      <c r="Z51" s="1"/>
    </row>
    <row r="52" ht="15.75" customHeight="1">
      <c r="A52" s="1"/>
      <c r="B52" s="8" t="s">
        <v>160</v>
      </c>
      <c r="C52" s="8"/>
      <c r="D52" s="8"/>
      <c r="E52" s="8"/>
      <c r="F52" s="1"/>
      <c r="G52" s="1"/>
      <c r="H52" s="1"/>
      <c r="I52" s="1"/>
      <c r="J52" s="1"/>
      <c r="K52" s="1"/>
      <c r="L52" s="1"/>
      <c r="M52" s="1"/>
      <c r="N52" s="1"/>
      <c r="O52" s="1"/>
      <c r="P52" s="1"/>
      <c r="Q52" s="1"/>
      <c r="R52" s="1"/>
      <c r="S52" s="1"/>
      <c r="T52" s="1"/>
      <c r="U52" s="1"/>
      <c r="V52" s="1"/>
      <c r="W52" s="1"/>
      <c r="X52" s="1"/>
      <c r="Y52" s="1"/>
      <c r="Z52" s="1"/>
    </row>
    <row r="53" ht="15.75" customHeight="1">
      <c r="A53" s="1"/>
      <c r="B53" s="8" t="s">
        <v>161</v>
      </c>
      <c r="C53" s="8"/>
      <c r="D53" s="8"/>
      <c r="E53" s="8"/>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display="Return to Home" location="TOC!A1" ref="G3"/>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6" width="31.0"/>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110" t="s">
        <v>9</v>
      </c>
      <c r="B3" s="3"/>
      <c r="C3" s="85" t="s">
        <v>301</v>
      </c>
      <c r="D3" s="86"/>
      <c r="E3" s="86"/>
      <c r="G3" s="87" t="s">
        <v>105</v>
      </c>
      <c r="H3" s="1"/>
      <c r="I3" s="1"/>
      <c r="J3" s="1"/>
      <c r="K3" s="1"/>
      <c r="L3" s="1"/>
      <c r="M3" s="1"/>
      <c r="N3" s="1"/>
      <c r="O3" s="1"/>
      <c r="P3" s="1"/>
      <c r="Q3" s="1"/>
      <c r="R3" s="1"/>
      <c r="S3" s="1"/>
      <c r="T3" s="1"/>
      <c r="U3" s="1"/>
      <c r="V3" s="1"/>
      <c r="W3" s="1"/>
      <c r="X3" s="1"/>
      <c r="Y3" s="1"/>
      <c r="Z3" s="1"/>
    </row>
    <row r="4">
      <c r="A4" s="108" t="s">
        <v>249</v>
      </c>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46.5" customHeight="1">
      <c r="A7" s="89" t="s">
        <v>107</v>
      </c>
      <c r="B7" s="107" t="s">
        <v>302</v>
      </c>
      <c r="C7" s="91" t="s">
        <v>303</v>
      </c>
      <c r="D7" s="91" t="s">
        <v>304</v>
      </c>
      <c r="E7" s="91" t="s">
        <v>305</v>
      </c>
      <c r="F7" s="9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92" t="s">
        <v>53</v>
      </c>
      <c r="B9" s="104" t="s">
        <v>170</v>
      </c>
      <c r="C9" s="91" t="s">
        <v>112</v>
      </c>
      <c r="D9" s="91" t="s">
        <v>112</v>
      </c>
      <c r="E9" s="109" t="s">
        <v>113</v>
      </c>
      <c r="F9" s="16"/>
      <c r="G9" s="1"/>
      <c r="H9" s="1"/>
      <c r="I9" s="1"/>
      <c r="J9" s="1"/>
      <c r="K9" s="1"/>
      <c r="L9" s="1"/>
      <c r="M9" s="1"/>
      <c r="N9" s="1"/>
      <c r="O9" s="1"/>
      <c r="P9" s="1"/>
      <c r="Q9" s="1"/>
      <c r="R9" s="1"/>
      <c r="S9" s="1"/>
      <c r="T9" s="1"/>
      <c r="U9" s="1"/>
      <c r="V9" s="1"/>
      <c r="W9" s="1"/>
      <c r="X9" s="1"/>
      <c r="Y9" s="1"/>
      <c r="Z9" s="1"/>
    </row>
    <row r="10">
      <c r="A10" s="93"/>
      <c r="B10" s="3" t="s">
        <v>171</v>
      </c>
      <c r="C10" s="91" t="s">
        <v>254</v>
      </c>
      <c r="D10" s="91" t="s">
        <v>254</v>
      </c>
      <c r="E10" s="91" t="s">
        <v>254</v>
      </c>
      <c r="F10" s="16"/>
      <c r="G10" s="1"/>
      <c r="H10" s="1"/>
      <c r="I10" s="1"/>
      <c r="J10" s="1"/>
      <c r="K10" s="1"/>
      <c r="L10" s="1"/>
      <c r="M10" s="1"/>
      <c r="N10" s="1"/>
      <c r="O10" s="1"/>
      <c r="P10" s="1"/>
      <c r="Q10" s="1"/>
      <c r="R10" s="1"/>
      <c r="S10" s="1"/>
      <c r="T10" s="1"/>
      <c r="U10" s="1"/>
      <c r="V10" s="1"/>
      <c r="W10" s="1"/>
      <c r="X10" s="1"/>
      <c r="Y10" s="1"/>
      <c r="Z10" s="1"/>
    </row>
    <row r="11" ht="15.75" customHeight="1">
      <c r="A11" s="93"/>
      <c r="B11" s="3" t="s">
        <v>173</v>
      </c>
      <c r="C11" s="91" t="s">
        <v>255</v>
      </c>
      <c r="D11" s="91" t="s">
        <v>255</v>
      </c>
      <c r="E11" s="91" t="s">
        <v>255</v>
      </c>
      <c r="F11" s="16"/>
      <c r="G11" s="1"/>
      <c r="H11" s="1"/>
      <c r="I11" s="1"/>
      <c r="J11" s="1"/>
      <c r="K11" s="1"/>
      <c r="L11" s="1"/>
      <c r="M11" s="1"/>
      <c r="N11" s="1"/>
      <c r="O11" s="1"/>
      <c r="P11" s="1"/>
      <c r="Q11" s="1"/>
      <c r="R11" s="1"/>
      <c r="S11" s="1"/>
      <c r="T11" s="1"/>
      <c r="U11" s="1"/>
      <c r="V11" s="1"/>
      <c r="W11" s="1"/>
      <c r="X11" s="1"/>
      <c r="Y11" s="1"/>
      <c r="Z11" s="1"/>
    </row>
    <row r="12" ht="15.75" customHeight="1">
      <c r="A12" s="93"/>
      <c r="B12" s="3" t="s">
        <v>176</v>
      </c>
      <c r="C12" s="91" t="s">
        <v>120</v>
      </c>
      <c r="D12" s="91" t="s">
        <v>120</v>
      </c>
      <c r="E12" s="91" t="s">
        <v>120</v>
      </c>
      <c r="F12" s="16"/>
      <c r="G12" s="1"/>
      <c r="H12" s="1"/>
      <c r="I12" s="1"/>
      <c r="J12" s="1"/>
      <c r="K12" s="1"/>
      <c r="L12" s="1"/>
      <c r="M12" s="1"/>
      <c r="N12" s="1"/>
      <c r="O12" s="1"/>
      <c r="P12" s="1"/>
      <c r="Q12" s="1"/>
      <c r="R12" s="1"/>
      <c r="S12" s="1"/>
      <c r="T12" s="1"/>
      <c r="U12" s="1"/>
      <c r="V12" s="1"/>
      <c r="W12" s="1"/>
      <c r="X12" s="1"/>
      <c r="Y12" s="1"/>
      <c r="Z12" s="1"/>
    </row>
    <row r="13">
      <c r="A13" s="93"/>
      <c r="B13" s="3"/>
      <c r="C13" s="91"/>
      <c r="D13" s="91"/>
      <c r="E13" s="109" t="s">
        <v>256</v>
      </c>
      <c r="F13" s="16"/>
      <c r="G13" s="1"/>
      <c r="H13" s="1"/>
      <c r="I13" s="1"/>
      <c r="J13" s="1"/>
      <c r="K13" s="1"/>
      <c r="L13" s="1"/>
      <c r="M13" s="1"/>
      <c r="N13" s="1"/>
      <c r="O13" s="1"/>
      <c r="P13" s="1"/>
      <c r="Q13" s="1"/>
      <c r="R13" s="1"/>
      <c r="S13" s="1"/>
      <c r="T13" s="1"/>
      <c r="U13" s="1"/>
      <c r="V13" s="1"/>
      <c r="W13" s="1"/>
      <c r="X13" s="1"/>
      <c r="Y13" s="1"/>
      <c r="Z13" s="1"/>
    </row>
    <row r="14" ht="15.75" customHeight="1">
      <c r="A14" s="93"/>
      <c r="B14" s="3"/>
      <c r="C14" s="16"/>
      <c r="D14" s="16"/>
      <c r="E14" s="16"/>
      <c r="F14" s="3"/>
      <c r="G14" s="1"/>
      <c r="H14" s="1"/>
      <c r="I14" s="1"/>
      <c r="J14" s="1"/>
      <c r="K14" s="1"/>
      <c r="L14" s="1"/>
      <c r="M14" s="1"/>
      <c r="N14" s="1"/>
      <c r="O14" s="1"/>
      <c r="P14" s="1"/>
      <c r="Q14" s="1"/>
      <c r="R14" s="1"/>
      <c r="S14" s="1"/>
      <c r="T14" s="1"/>
      <c r="U14" s="1"/>
      <c r="V14" s="1"/>
      <c r="W14" s="1"/>
      <c r="X14" s="1"/>
      <c r="Y14" s="1"/>
      <c r="Z14" s="1"/>
    </row>
    <row r="15" ht="15.75" customHeight="1">
      <c r="A15" s="93"/>
      <c r="B15" s="3"/>
      <c r="C15" s="16"/>
      <c r="D15" s="16"/>
      <c r="E15" s="16"/>
      <c r="F15" s="3"/>
      <c r="G15" s="1"/>
      <c r="H15" s="1"/>
      <c r="I15" s="1"/>
      <c r="J15" s="1"/>
      <c r="K15" s="1"/>
      <c r="L15" s="1"/>
      <c r="M15" s="1"/>
      <c r="N15" s="1"/>
      <c r="O15" s="1"/>
      <c r="P15" s="1"/>
      <c r="Q15" s="1"/>
      <c r="R15" s="1"/>
      <c r="S15" s="1"/>
      <c r="T15" s="1"/>
      <c r="U15" s="1"/>
      <c r="V15" s="1"/>
      <c r="W15" s="1"/>
      <c r="X15" s="1"/>
      <c r="Y15" s="1"/>
      <c r="Z15" s="1"/>
    </row>
    <row r="16" ht="15.75" customHeight="1">
      <c r="A16" s="93"/>
      <c r="B16" s="3"/>
      <c r="C16" s="16"/>
      <c r="D16" s="16"/>
      <c r="E16" s="16"/>
      <c r="F16" s="3"/>
      <c r="G16" s="1"/>
      <c r="H16" s="1"/>
      <c r="I16" s="1"/>
      <c r="J16" s="1"/>
      <c r="K16" s="1"/>
      <c r="L16" s="1"/>
      <c r="M16" s="1"/>
      <c r="N16" s="1"/>
      <c r="O16" s="1"/>
      <c r="P16" s="1"/>
      <c r="Q16" s="1"/>
      <c r="R16" s="1"/>
      <c r="S16" s="1"/>
      <c r="T16" s="1"/>
      <c r="U16" s="1"/>
      <c r="V16" s="1"/>
      <c r="W16" s="1"/>
      <c r="X16" s="1"/>
      <c r="Y16" s="1"/>
      <c r="Z16" s="1"/>
    </row>
    <row r="17" ht="15.75" customHeight="1">
      <c r="A17" s="93"/>
      <c r="B17" s="3"/>
      <c r="C17" s="16"/>
      <c r="D17" s="16"/>
      <c r="E17" s="16"/>
      <c r="F17" s="3"/>
      <c r="G17" s="1"/>
      <c r="H17" s="1"/>
      <c r="I17" s="1"/>
      <c r="J17" s="1"/>
      <c r="K17" s="1"/>
      <c r="L17" s="1"/>
      <c r="M17" s="1"/>
      <c r="N17" s="1"/>
      <c r="O17" s="1"/>
      <c r="P17" s="1"/>
      <c r="Q17" s="1"/>
      <c r="R17" s="1"/>
      <c r="S17" s="1"/>
      <c r="T17" s="1"/>
      <c r="U17" s="1"/>
      <c r="V17" s="1"/>
      <c r="W17" s="1"/>
      <c r="X17" s="1"/>
      <c r="Y17" s="1"/>
      <c r="Z17" s="1"/>
    </row>
    <row r="18" ht="15.75" customHeight="1">
      <c r="A18" s="93"/>
      <c r="B18" s="12" t="s">
        <v>275</v>
      </c>
      <c r="C18" s="97">
        <v>13000.0</v>
      </c>
      <c r="D18" s="97">
        <v>13000.0</v>
      </c>
      <c r="E18" s="97">
        <v>19000.0</v>
      </c>
      <c r="F18" s="97" t="s">
        <v>60</v>
      </c>
      <c r="G18" s="1"/>
      <c r="H18" s="1"/>
      <c r="I18" s="1"/>
      <c r="J18" s="1"/>
      <c r="K18" s="1"/>
      <c r="L18" s="1"/>
      <c r="M18" s="1"/>
      <c r="N18" s="1"/>
      <c r="O18" s="1"/>
      <c r="P18" s="1"/>
      <c r="Q18" s="1"/>
      <c r="R18" s="1"/>
      <c r="S18" s="1"/>
      <c r="T18" s="1"/>
      <c r="U18" s="1"/>
      <c r="V18" s="1"/>
      <c r="W18" s="1"/>
      <c r="X18" s="1"/>
      <c r="Y18" s="1"/>
      <c r="Z18" s="1"/>
    </row>
    <row r="19" ht="15.75" customHeight="1">
      <c r="A19" s="1"/>
      <c r="B19" s="5"/>
      <c r="C19" s="5"/>
      <c r="D19" s="5"/>
      <c r="E19" s="5"/>
      <c r="F19" s="5"/>
      <c r="G19" s="1"/>
      <c r="H19" s="1"/>
      <c r="I19" s="1"/>
      <c r="J19" s="1"/>
      <c r="K19" s="1"/>
      <c r="L19" s="1"/>
      <c r="M19" s="1"/>
      <c r="N19" s="1"/>
      <c r="O19" s="1"/>
      <c r="P19" s="1"/>
      <c r="Q19" s="1"/>
      <c r="R19" s="1"/>
      <c r="S19" s="1"/>
      <c r="T19" s="1"/>
      <c r="U19" s="1"/>
      <c r="V19" s="1"/>
      <c r="W19" s="1"/>
      <c r="X19" s="1"/>
      <c r="Y19" s="1"/>
      <c r="Z19" s="1"/>
    </row>
    <row r="20" ht="15.75" customHeight="1">
      <c r="A20" s="92" t="s">
        <v>15</v>
      </c>
      <c r="B20" s="98" t="s">
        <v>306</v>
      </c>
      <c r="C20" s="98" t="s">
        <v>307</v>
      </c>
      <c r="D20" s="98" t="s">
        <v>308</v>
      </c>
      <c r="E20" s="98" t="s">
        <v>309</v>
      </c>
      <c r="F20" s="98" t="s">
        <v>310</v>
      </c>
      <c r="G20" s="1"/>
      <c r="H20" s="1"/>
      <c r="I20" s="1"/>
      <c r="J20" s="1"/>
      <c r="K20" s="1"/>
      <c r="L20" s="1"/>
      <c r="M20" s="1"/>
      <c r="N20" s="1"/>
      <c r="O20" s="1"/>
      <c r="P20" s="1"/>
      <c r="Q20" s="1"/>
      <c r="R20" s="1"/>
      <c r="S20" s="1"/>
      <c r="T20" s="1"/>
      <c r="U20" s="1"/>
      <c r="V20" s="1"/>
      <c r="W20" s="1"/>
      <c r="X20" s="1"/>
      <c r="Y20" s="1"/>
      <c r="Z20" s="1"/>
    </row>
    <row r="21" ht="15.75" customHeight="1">
      <c r="A21" s="93"/>
      <c r="B21" s="97"/>
      <c r="C21" s="97"/>
      <c r="D21" s="97"/>
      <c r="E21" s="97"/>
      <c r="F21" s="97"/>
      <c r="G21" s="1"/>
      <c r="H21" s="1"/>
      <c r="I21" s="1"/>
      <c r="J21" s="1"/>
      <c r="K21" s="1"/>
      <c r="L21" s="1"/>
      <c r="M21" s="1"/>
      <c r="N21" s="1"/>
      <c r="O21" s="1"/>
      <c r="P21" s="1"/>
      <c r="Q21" s="1"/>
      <c r="R21" s="1"/>
      <c r="S21" s="1"/>
      <c r="T21" s="1"/>
      <c r="U21" s="1"/>
      <c r="V21" s="1"/>
      <c r="W21" s="1"/>
      <c r="X21" s="1"/>
      <c r="Y21" s="1"/>
      <c r="Z21" s="1"/>
    </row>
    <row r="22" ht="15.75" customHeight="1">
      <c r="A22" s="93"/>
      <c r="B22" s="97" t="s">
        <v>125</v>
      </c>
      <c r="C22" s="97" t="s">
        <v>125</v>
      </c>
      <c r="D22" s="97" t="s">
        <v>125</v>
      </c>
      <c r="E22" s="97" t="s">
        <v>125</v>
      </c>
      <c r="F22" s="97" t="s">
        <v>125</v>
      </c>
      <c r="G22" s="1"/>
      <c r="H22" s="1"/>
      <c r="I22" s="1"/>
      <c r="J22" s="1"/>
      <c r="K22" s="1"/>
      <c r="L22" s="1"/>
      <c r="M22" s="1"/>
      <c r="N22" s="1"/>
      <c r="O22" s="1"/>
      <c r="P22" s="1"/>
      <c r="Q22" s="1"/>
      <c r="R22" s="1"/>
      <c r="S22" s="1"/>
      <c r="T22" s="1"/>
      <c r="U22" s="1"/>
      <c r="V22" s="1"/>
      <c r="W22" s="1"/>
      <c r="X22" s="1"/>
      <c r="Y22" s="1"/>
      <c r="Z22" s="1"/>
    </row>
    <row r="23" ht="15.75" customHeight="1">
      <c r="A23" s="1"/>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92" t="s">
        <v>126</v>
      </c>
      <c r="B24" s="16" t="s">
        <v>186</v>
      </c>
      <c r="C24" s="16" t="s">
        <v>187</v>
      </c>
      <c r="D24" s="16" t="s">
        <v>187</v>
      </c>
      <c r="E24" s="95" t="s">
        <v>127</v>
      </c>
      <c r="F24" s="16"/>
      <c r="G24" s="1"/>
      <c r="H24" s="1"/>
      <c r="I24" s="1"/>
      <c r="J24" s="1"/>
      <c r="K24" s="1"/>
      <c r="L24" s="1"/>
      <c r="M24" s="1"/>
      <c r="N24" s="1"/>
      <c r="O24" s="1"/>
      <c r="P24" s="1"/>
      <c r="Q24" s="1"/>
      <c r="R24" s="1"/>
      <c r="S24" s="1"/>
      <c r="T24" s="1"/>
      <c r="U24" s="1"/>
      <c r="V24" s="1"/>
      <c r="W24" s="1"/>
      <c r="X24" s="1"/>
      <c r="Y24" s="1"/>
      <c r="Z24" s="1"/>
    </row>
    <row r="25" ht="15.75" customHeight="1">
      <c r="A25" s="93"/>
      <c r="B25" s="3"/>
      <c r="C25" s="16" t="s">
        <v>129</v>
      </c>
      <c r="D25" s="16" t="s">
        <v>129</v>
      </c>
      <c r="E25" s="16" t="s">
        <v>129</v>
      </c>
      <c r="F25" s="16"/>
      <c r="G25" s="1"/>
      <c r="H25" s="1"/>
      <c r="I25" s="1"/>
      <c r="J25" s="1"/>
      <c r="K25" s="1"/>
      <c r="L25" s="1"/>
      <c r="M25" s="1"/>
      <c r="N25" s="1"/>
      <c r="O25" s="1"/>
      <c r="P25" s="1"/>
      <c r="Q25" s="1"/>
      <c r="R25" s="1"/>
      <c r="S25" s="1"/>
      <c r="T25" s="1"/>
      <c r="U25" s="1"/>
      <c r="V25" s="1"/>
      <c r="W25" s="1"/>
      <c r="X25" s="1"/>
      <c r="Y25" s="1"/>
      <c r="Z25" s="1"/>
    </row>
    <row r="26" ht="15.75" customHeight="1">
      <c r="A26" s="93"/>
      <c r="B26" s="3"/>
      <c r="C26" s="16" t="s">
        <v>130</v>
      </c>
      <c r="D26" s="16" t="s">
        <v>130</v>
      </c>
      <c r="E26" s="16" t="s">
        <v>130</v>
      </c>
      <c r="F26" s="16"/>
      <c r="G26" s="1"/>
      <c r="H26" s="1"/>
      <c r="I26" s="1"/>
      <c r="J26" s="1"/>
      <c r="K26" s="1"/>
      <c r="L26" s="1"/>
      <c r="M26" s="1"/>
      <c r="N26" s="1"/>
      <c r="O26" s="1"/>
      <c r="P26" s="1"/>
      <c r="Q26" s="1"/>
      <c r="R26" s="1"/>
      <c r="S26" s="1"/>
      <c r="T26" s="1"/>
      <c r="U26" s="1"/>
      <c r="V26" s="1"/>
      <c r="W26" s="1"/>
      <c r="X26" s="1"/>
      <c r="Y26" s="1"/>
      <c r="Z26" s="1"/>
    </row>
    <row r="27" ht="15.75" customHeight="1">
      <c r="A27" s="93"/>
      <c r="B27" s="3"/>
      <c r="C27" s="91" t="s">
        <v>253</v>
      </c>
      <c r="D27" s="91" t="s">
        <v>253</v>
      </c>
      <c r="E27" s="109" t="s">
        <v>254</v>
      </c>
      <c r="F27" s="16"/>
      <c r="G27" s="1"/>
      <c r="H27" s="1"/>
      <c r="I27" s="1"/>
      <c r="J27" s="1"/>
      <c r="K27" s="1"/>
      <c r="L27" s="1"/>
      <c r="M27" s="1"/>
      <c r="N27" s="1"/>
      <c r="O27" s="1"/>
      <c r="P27" s="1"/>
      <c r="Q27" s="1"/>
      <c r="R27" s="1"/>
      <c r="S27" s="1"/>
      <c r="T27" s="1"/>
      <c r="U27" s="1"/>
      <c r="V27" s="1"/>
      <c r="W27" s="1"/>
      <c r="X27" s="1"/>
      <c r="Y27" s="1"/>
      <c r="Z27" s="1"/>
    </row>
    <row r="28" ht="15.75" customHeight="1">
      <c r="A28" s="93"/>
      <c r="B28" s="3"/>
      <c r="C28" s="91" t="s">
        <v>261</v>
      </c>
      <c r="D28" s="109" t="s">
        <v>262</v>
      </c>
      <c r="E28" s="109" t="s">
        <v>262</v>
      </c>
      <c r="F28" s="16"/>
      <c r="G28" s="1"/>
      <c r="H28" s="1"/>
      <c r="I28" s="1"/>
      <c r="J28" s="1"/>
      <c r="K28" s="1"/>
      <c r="L28" s="1"/>
      <c r="M28" s="1"/>
      <c r="N28" s="1"/>
      <c r="O28" s="1"/>
      <c r="P28" s="1"/>
      <c r="Q28" s="1"/>
      <c r="R28" s="1"/>
      <c r="S28" s="1"/>
      <c r="T28" s="1"/>
      <c r="U28" s="1"/>
      <c r="V28" s="1"/>
      <c r="W28" s="1"/>
      <c r="X28" s="1"/>
      <c r="Y28" s="1"/>
      <c r="Z28" s="1"/>
    </row>
    <row r="29" ht="15.75" customHeight="1">
      <c r="A29" s="93"/>
      <c r="B29" s="3"/>
      <c r="C29" s="16" t="s">
        <v>131</v>
      </c>
      <c r="D29" s="16" t="s">
        <v>131</v>
      </c>
      <c r="E29" s="16" t="s">
        <v>131</v>
      </c>
      <c r="F29" s="16"/>
      <c r="G29" s="1"/>
      <c r="H29" s="1"/>
      <c r="I29" s="1"/>
      <c r="J29" s="1"/>
      <c r="K29" s="1"/>
      <c r="L29" s="1"/>
      <c r="M29" s="1"/>
      <c r="N29" s="1"/>
      <c r="O29" s="1"/>
      <c r="P29" s="1"/>
      <c r="Q29" s="1"/>
      <c r="R29" s="1"/>
      <c r="S29" s="1"/>
      <c r="T29" s="1"/>
      <c r="U29" s="1"/>
      <c r="V29" s="1"/>
      <c r="W29" s="1"/>
      <c r="X29" s="1"/>
      <c r="Y29" s="1"/>
      <c r="Z29" s="1"/>
    </row>
    <row r="30" ht="15.75" customHeight="1">
      <c r="A30" s="93"/>
      <c r="B30" s="3"/>
      <c r="C30" s="16" t="s">
        <v>132</v>
      </c>
      <c r="D30" s="16" t="s">
        <v>132</v>
      </c>
      <c r="E30" s="16" t="s">
        <v>132</v>
      </c>
      <c r="F30" s="16"/>
      <c r="G30" s="1"/>
      <c r="H30" s="1"/>
      <c r="I30" s="1"/>
      <c r="J30" s="1"/>
      <c r="K30" s="1"/>
      <c r="L30" s="1"/>
      <c r="M30" s="1"/>
      <c r="N30" s="1"/>
      <c r="O30" s="1"/>
      <c r="P30" s="1"/>
      <c r="Q30" s="1"/>
      <c r="R30" s="1"/>
      <c r="S30" s="1"/>
      <c r="T30" s="1"/>
      <c r="U30" s="1"/>
      <c r="V30" s="1"/>
      <c r="W30" s="1"/>
      <c r="X30" s="1"/>
      <c r="Y30" s="1"/>
      <c r="Z30" s="1"/>
    </row>
    <row r="31" ht="15.75" customHeight="1">
      <c r="A31" s="93"/>
      <c r="B31" s="3"/>
      <c r="C31" s="16" t="s">
        <v>263</v>
      </c>
      <c r="D31" s="16" t="s">
        <v>263</v>
      </c>
      <c r="E31" s="16" t="s">
        <v>263</v>
      </c>
      <c r="F31" s="3"/>
      <c r="G31" s="1"/>
      <c r="H31" s="1"/>
      <c r="I31" s="1"/>
      <c r="J31" s="1"/>
      <c r="K31" s="1"/>
      <c r="L31" s="1"/>
      <c r="M31" s="1"/>
      <c r="N31" s="1"/>
      <c r="O31" s="1"/>
      <c r="P31" s="1"/>
      <c r="Q31" s="1"/>
      <c r="R31" s="1"/>
      <c r="S31" s="1"/>
      <c r="T31" s="1"/>
      <c r="U31" s="1"/>
      <c r="V31" s="1"/>
      <c r="W31" s="1"/>
      <c r="X31" s="1"/>
      <c r="Y31" s="1"/>
      <c r="Z31" s="1"/>
    </row>
    <row r="32" ht="15.75" customHeight="1">
      <c r="A32" s="93"/>
      <c r="B32" s="3"/>
      <c r="C32" s="16" t="s">
        <v>134</v>
      </c>
      <c r="D32" s="16" t="s">
        <v>134</v>
      </c>
      <c r="E32" s="16" t="s">
        <v>134</v>
      </c>
      <c r="F32" s="3"/>
      <c r="G32" s="1"/>
      <c r="H32" s="1"/>
      <c r="I32" s="1"/>
      <c r="J32" s="1"/>
      <c r="K32" s="1"/>
      <c r="L32" s="1"/>
      <c r="M32" s="1"/>
      <c r="N32" s="1"/>
      <c r="O32" s="1"/>
      <c r="P32" s="1"/>
      <c r="Q32" s="1"/>
      <c r="R32" s="1"/>
      <c r="S32" s="1"/>
      <c r="T32" s="1"/>
      <c r="U32" s="1"/>
      <c r="V32" s="1"/>
      <c r="W32" s="1"/>
      <c r="X32" s="1"/>
      <c r="Y32" s="1"/>
      <c r="Z32" s="1"/>
    </row>
    <row r="33" ht="15.75" customHeight="1">
      <c r="A33" s="93"/>
      <c r="B33" s="12" t="s">
        <v>275</v>
      </c>
      <c r="C33" s="97">
        <v>13000.0</v>
      </c>
      <c r="D33" s="97">
        <v>16000.0</v>
      </c>
      <c r="E33" s="97">
        <v>21000.0</v>
      </c>
      <c r="F33" s="97" t="s">
        <v>60</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99" t="s">
        <v>140</v>
      </c>
      <c r="B35" s="96" t="s">
        <v>43</v>
      </c>
      <c r="C35" s="97" t="s">
        <v>264</v>
      </c>
      <c r="D35" s="97" t="s">
        <v>265</v>
      </c>
      <c r="E35" s="97" t="s">
        <v>266</v>
      </c>
      <c r="F35" s="97" t="s">
        <v>60</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00" t="s">
        <v>144</v>
      </c>
      <c r="C37" s="100"/>
      <c r="D37" s="100"/>
      <c r="E37" s="100"/>
      <c r="F37" s="100"/>
      <c r="G37" s="1"/>
      <c r="H37" s="1"/>
      <c r="I37" s="1"/>
      <c r="J37" s="1"/>
      <c r="K37" s="1"/>
      <c r="L37" s="1"/>
      <c r="M37" s="1"/>
      <c r="N37" s="1"/>
      <c r="O37" s="1"/>
      <c r="P37" s="1"/>
      <c r="Q37" s="1"/>
      <c r="R37" s="1"/>
      <c r="S37" s="1"/>
      <c r="T37" s="1"/>
      <c r="U37" s="1"/>
      <c r="V37" s="1"/>
      <c r="W37" s="1"/>
      <c r="X37" s="1"/>
      <c r="Y37" s="1"/>
      <c r="Z37" s="1"/>
    </row>
    <row r="38" ht="15.75" customHeight="1">
      <c r="A38" s="1"/>
      <c r="B38" s="101" t="s">
        <v>145</v>
      </c>
      <c r="C38" s="101" t="s">
        <v>146</v>
      </c>
      <c r="D38" s="102" t="s">
        <v>147</v>
      </c>
      <c r="E38" s="101"/>
      <c r="F38" s="101"/>
      <c r="G38" s="1"/>
      <c r="H38" s="1"/>
      <c r="I38" s="1"/>
      <c r="J38" s="1"/>
      <c r="K38" s="1"/>
      <c r="L38" s="1"/>
      <c r="M38" s="1"/>
      <c r="N38" s="1"/>
      <c r="O38" s="1"/>
      <c r="P38" s="1"/>
      <c r="Q38" s="1"/>
      <c r="R38" s="1"/>
      <c r="S38" s="1"/>
      <c r="T38" s="1"/>
      <c r="U38" s="1"/>
      <c r="V38" s="1"/>
      <c r="W38" s="1"/>
      <c r="X38" s="1"/>
      <c r="Y38" s="1"/>
      <c r="Z38" s="1"/>
    </row>
    <row r="39" ht="15.75" customHeight="1">
      <c r="A39" s="1"/>
      <c r="B39" s="8" t="s">
        <v>150</v>
      </c>
      <c r="C39" s="8"/>
      <c r="D39" s="8"/>
      <c r="E39" s="8"/>
      <c r="F39" s="8"/>
      <c r="G39" s="1"/>
      <c r="H39" s="1"/>
      <c r="I39" s="1"/>
      <c r="J39" s="1"/>
      <c r="K39" s="1"/>
      <c r="L39" s="1"/>
      <c r="M39" s="1"/>
      <c r="N39" s="1"/>
      <c r="O39" s="1"/>
      <c r="P39" s="1"/>
      <c r="Q39" s="1"/>
      <c r="R39" s="1"/>
      <c r="S39" s="1"/>
      <c r="T39" s="1"/>
      <c r="U39" s="1"/>
      <c r="V39" s="1"/>
      <c r="W39" s="1"/>
      <c r="X39" s="1"/>
      <c r="Y39" s="1"/>
      <c r="Z39" s="1"/>
    </row>
    <row r="40" ht="15.75" customHeight="1">
      <c r="A40" s="1"/>
      <c r="B40" s="8" t="s">
        <v>151</v>
      </c>
      <c r="C40" s="8"/>
      <c r="D40" s="8"/>
      <c r="E40" s="8"/>
      <c r="F40" s="8"/>
      <c r="G40" s="1"/>
      <c r="H40" s="1"/>
      <c r="I40" s="1"/>
      <c r="J40" s="1"/>
      <c r="K40" s="1"/>
      <c r="L40" s="1"/>
      <c r="M40" s="1"/>
      <c r="N40" s="1"/>
      <c r="O40" s="1"/>
      <c r="P40" s="1"/>
      <c r="Q40" s="1"/>
      <c r="R40" s="1"/>
      <c r="S40" s="1"/>
      <c r="T40" s="1"/>
      <c r="U40" s="1"/>
      <c r="V40" s="1"/>
      <c r="W40" s="1"/>
      <c r="X40" s="1"/>
      <c r="Y40" s="1"/>
      <c r="Z40" s="1"/>
    </row>
    <row r="41" ht="15.75" customHeight="1">
      <c r="A41" s="1"/>
      <c r="B41" s="8" t="s">
        <v>152</v>
      </c>
      <c r="C41" s="99"/>
      <c r="D41" s="99" t="s">
        <v>153</v>
      </c>
      <c r="E41" s="8"/>
      <c r="F41" s="8"/>
      <c r="G41" s="1"/>
      <c r="H41" s="1"/>
      <c r="I41" s="1"/>
      <c r="J41" s="1"/>
      <c r="K41" s="1"/>
      <c r="L41" s="1"/>
      <c r="M41" s="1"/>
      <c r="N41" s="1"/>
      <c r="O41" s="1"/>
      <c r="P41" s="1"/>
      <c r="Q41" s="1"/>
      <c r="R41" s="1"/>
      <c r="S41" s="1"/>
      <c r="T41" s="1"/>
      <c r="U41" s="1"/>
      <c r="V41" s="1"/>
      <c r="W41" s="1"/>
      <c r="X41" s="1"/>
      <c r="Y41" s="1"/>
      <c r="Z41" s="1"/>
    </row>
    <row r="42" ht="15.75" customHeight="1">
      <c r="A42" s="1"/>
      <c r="B42" s="103" t="s">
        <v>154</v>
      </c>
      <c r="C42" s="99"/>
      <c r="D42" s="99" t="s">
        <v>155</v>
      </c>
      <c r="E42" s="8"/>
      <c r="F42" s="8"/>
      <c r="G42" s="1"/>
      <c r="H42" s="1"/>
      <c r="I42" s="1"/>
      <c r="J42" s="1"/>
      <c r="K42" s="1"/>
      <c r="L42" s="1"/>
      <c r="M42" s="1"/>
      <c r="N42" s="1"/>
      <c r="O42" s="1"/>
      <c r="P42" s="1"/>
      <c r="Q42" s="1"/>
      <c r="R42" s="1"/>
      <c r="S42" s="1"/>
      <c r="T42" s="1"/>
      <c r="U42" s="1"/>
      <c r="V42" s="1"/>
      <c r="W42" s="1"/>
      <c r="X42" s="1"/>
      <c r="Y42" s="1"/>
      <c r="Z42" s="1"/>
    </row>
    <row r="43" ht="15.75" customHeight="1">
      <c r="A43" s="1"/>
      <c r="B43" s="104" t="s">
        <v>156</v>
      </c>
      <c r="C43" s="99"/>
      <c r="D43" s="99"/>
      <c r="E43" s="8"/>
      <c r="F43" s="8"/>
      <c r="G43" s="1"/>
      <c r="H43" s="1"/>
      <c r="I43" s="1"/>
      <c r="J43" s="1"/>
      <c r="K43" s="1"/>
      <c r="L43" s="1"/>
      <c r="M43" s="1"/>
      <c r="N43" s="1"/>
      <c r="O43" s="1"/>
      <c r="P43" s="1"/>
      <c r="Q43" s="1"/>
      <c r="R43" s="1"/>
      <c r="S43" s="1"/>
      <c r="T43" s="1"/>
      <c r="U43" s="1"/>
      <c r="V43" s="1"/>
      <c r="W43" s="1"/>
      <c r="X43" s="1"/>
      <c r="Y43" s="1"/>
      <c r="Z43" s="1"/>
    </row>
    <row r="44" ht="15.75" customHeight="1">
      <c r="A44" s="1"/>
      <c r="B44" s="8" t="s">
        <v>157</v>
      </c>
      <c r="C44" s="8"/>
      <c r="D44" s="8"/>
      <c r="E44" s="8"/>
      <c r="F44" s="8"/>
      <c r="G44" s="1"/>
      <c r="H44" s="1"/>
      <c r="I44" s="1"/>
      <c r="J44" s="1"/>
      <c r="K44" s="1"/>
      <c r="L44" s="1"/>
      <c r="M44" s="1"/>
      <c r="N44" s="1"/>
      <c r="O44" s="1"/>
      <c r="P44" s="1"/>
      <c r="Q44" s="1"/>
      <c r="R44" s="1"/>
      <c r="S44" s="1"/>
      <c r="T44" s="1"/>
      <c r="U44" s="1"/>
      <c r="V44" s="1"/>
      <c r="W44" s="1"/>
      <c r="X44" s="1"/>
      <c r="Y44" s="1"/>
      <c r="Z44" s="1"/>
    </row>
    <row r="45" ht="15.75" customHeight="1">
      <c r="A45" s="1"/>
      <c r="B45" s="8" t="s">
        <v>158</v>
      </c>
      <c r="C45" s="8"/>
      <c r="D45" s="8"/>
      <c r="E45" s="8"/>
      <c r="F45" s="8"/>
      <c r="G45" s="1"/>
      <c r="H45" s="1"/>
      <c r="I45" s="1"/>
      <c r="J45" s="1"/>
      <c r="K45" s="1"/>
      <c r="L45" s="1"/>
      <c r="M45" s="1"/>
      <c r="N45" s="1"/>
      <c r="O45" s="1"/>
      <c r="P45" s="1"/>
      <c r="Q45" s="1"/>
      <c r="R45" s="1"/>
      <c r="S45" s="1"/>
      <c r="T45" s="1"/>
      <c r="U45" s="1"/>
      <c r="V45" s="1"/>
      <c r="W45" s="1"/>
      <c r="X45" s="1"/>
      <c r="Y45" s="1"/>
      <c r="Z45" s="1"/>
    </row>
    <row r="46" ht="15.75" customHeight="1">
      <c r="A46" s="1"/>
      <c r="B46" s="8" t="s">
        <v>159</v>
      </c>
      <c r="C46" s="8"/>
      <c r="D46" s="8"/>
      <c r="E46" s="8"/>
      <c r="F46" s="8"/>
      <c r="G46" s="1"/>
      <c r="H46" s="1"/>
      <c r="I46" s="1"/>
      <c r="J46" s="1"/>
      <c r="K46" s="1"/>
      <c r="L46" s="1"/>
      <c r="M46" s="1"/>
      <c r="N46" s="1"/>
      <c r="O46" s="1"/>
      <c r="P46" s="1"/>
      <c r="Q46" s="1"/>
      <c r="R46" s="1"/>
      <c r="S46" s="1"/>
      <c r="T46" s="1"/>
      <c r="U46" s="1"/>
      <c r="V46" s="1"/>
      <c r="W46" s="1"/>
      <c r="X46" s="1"/>
      <c r="Y46" s="1"/>
      <c r="Z46" s="1"/>
    </row>
    <row r="47" ht="15.75" customHeight="1">
      <c r="A47" s="1"/>
      <c r="B47" s="8" t="s">
        <v>160</v>
      </c>
      <c r="C47" s="8"/>
      <c r="D47" s="8"/>
      <c r="E47" s="8"/>
      <c r="F47" s="8"/>
      <c r="G47" s="1"/>
      <c r="H47" s="1"/>
      <c r="I47" s="1"/>
      <c r="J47" s="1"/>
      <c r="K47" s="1"/>
      <c r="L47" s="1"/>
      <c r="M47" s="1"/>
      <c r="N47" s="1"/>
      <c r="O47" s="1"/>
      <c r="P47" s="1"/>
      <c r="Q47" s="1"/>
      <c r="R47" s="1"/>
      <c r="S47" s="1"/>
      <c r="T47" s="1"/>
      <c r="U47" s="1"/>
      <c r="V47" s="1"/>
      <c r="W47" s="1"/>
      <c r="X47" s="1"/>
      <c r="Y47" s="1"/>
      <c r="Z47" s="1"/>
    </row>
    <row r="48" ht="15.75" customHeight="1">
      <c r="A48" s="1"/>
      <c r="B48" s="8" t="s">
        <v>161</v>
      </c>
      <c r="C48" s="8"/>
      <c r="D48" s="8"/>
      <c r="E48" s="8"/>
      <c r="F48" s="8"/>
      <c r="G48" s="1"/>
      <c r="H48" s="1"/>
      <c r="I48" s="1"/>
      <c r="J48" s="1"/>
      <c r="K48" s="1"/>
      <c r="L48" s="1"/>
      <c r="M48" s="1"/>
      <c r="N48" s="1"/>
      <c r="O48" s="1"/>
      <c r="P48" s="1"/>
      <c r="Q48" s="1"/>
      <c r="R48" s="1"/>
      <c r="S48" s="1"/>
      <c r="T48" s="1"/>
      <c r="U48" s="1"/>
      <c r="V48" s="1"/>
      <c r="W48" s="1"/>
      <c r="X48" s="1"/>
      <c r="Y48" s="1"/>
      <c r="Z48" s="1"/>
    </row>
    <row r="49" ht="15.75" customHeight="1">
      <c r="A49" s="1"/>
      <c r="B49" s="8" t="s">
        <v>197</v>
      </c>
      <c r="C49" s="8"/>
      <c r="D49" s="8"/>
      <c r="E49" s="8"/>
      <c r="F49" s="8"/>
      <c r="G49" s="1"/>
      <c r="H49" s="1"/>
      <c r="I49" s="1"/>
      <c r="J49" s="1"/>
      <c r="K49" s="1"/>
      <c r="L49" s="1"/>
      <c r="M49" s="1"/>
      <c r="N49" s="1"/>
      <c r="O49" s="1"/>
      <c r="P49" s="1"/>
      <c r="Q49" s="1"/>
      <c r="R49" s="1"/>
      <c r="S49" s="1"/>
      <c r="T49" s="1"/>
      <c r="U49" s="1"/>
      <c r="V49" s="1"/>
      <c r="W49" s="1"/>
      <c r="X49" s="1"/>
      <c r="Y49" s="1"/>
      <c r="Z49" s="1"/>
    </row>
    <row r="50" ht="15.75" customHeight="1">
      <c r="A50" s="1"/>
      <c r="B50" s="8"/>
      <c r="C50" s="8"/>
      <c r="D50" s="8"/>
      <c r="E50" s="8"/>
      <c r="F50" s="8"/>
      <c r="G50" s="1"/>
      <c r="H50" s="1"/>
      <c r="I50" s="1"/>
      <c r="J50" s="1"/>
      <c r="K50" s="1"/>
      <c r="L50" s="1"/>
      <c r="M50" s="1"/>
      <c r="N50" s="1"/>
      <c r="O50" s="1"/>
      <c r="P50" s="1"/>
      <c r="Q50" s="1"/>
      <c r="R50" s="1"/>
      <c r="S50" s="1"/>
      <c r="T50" s="1"/>
      <c r="U50" s="1"/>
      <c r="V50" s="1"/>
      <c r="W50" s="1"/>
      <c r="X50" s="1"/>
      <c r="Y50" s="1"/>
      <c r="Z50" s="1"/>
    </row>
    <row r="51" ht="15.75" customHeight="1">
      <c r="A51" s="1"/>
      <c r="B51" s="8"/>
      <c r="C51" s="8"/>
      <c r="D51" s="8"/>
      <c r="E51" s="8"/>
      <c r="F51" s="8"/>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E3"/>
    <mergeCell ref="A9:A18"/>
    <mergeCell ref="A20:A22"/>
    <mergeCell ref="A24:A33"/>
  </mergeCells>
  <hyperlinks>
    <hyperlink display="Return to Home" location="TOC!A1" ref="G3"/>
    <hyperlink r:id="rId1" ref="B7"/>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67"/>
    <col customWidth="1" min="2" max="2" width="17.22"/>
    <col customWidth="1" min="3" max="6" width="34.33"/>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311</v>
      </c>
      <c r="B3" s="106" t="str">
        <f>HYPERLINK("https://success.qualtrics.com/rs/542-FMF-412/images/Brand%20Tracking%20Graphic.pdf","Qualtrics BX Infographic")</f>
        <v>Qualtrics BX Infographic</v>
      </c>
      <c r="C3" s="17" t="s">
        <v>312</v>
      </c>
      <c r="D3" s="86"/>
      <c r="E3" s="86"/>
      <c r="F3" s="1"/>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313</v>
      </c>
      <c r="F6" s="88" t="s">
        <v>28</v>
      </c>
      <c r="G6" s="1"/>
      <c r="H6" s="1"/>
      <c r="I6" s="1"/>
      <c r="J6" s="1"/>
      <c r="K6" s="1"/>
      <c r="L6" s="1"/>
      <c r="M6" s="1"/>
      <c r="N6" s="1"/>
      <c r="O6" s="1"/>
      <c r="P6" s="1"/>
      <c r="Q6" s="1"/>
      <c r="R6" s="1"/>
      <c r="S6" s="1"/>
      <c r="T6" s="1"/>
      <c r="U6" s="1"/>
      <c r="V6" s="1"/>
      <c r="W6" s="1"/>
      <c r="X6" s="1"/>
      <c r="Y6" s="1"/>
      <c r="Z6" s="1"/>
    </row>
    <row r="7" ht="30.0" customHeight="1">
      <c r="A7" s="89" t="s">
        <v>107</v>
      </c>
      <c r="B7" s="16"/>
      <c r="C7" s="16"/>
      <c r="D7" s="16"/>
      <c r="E7" s="16"/>
      <c r="F7" s="16"/>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22" t="s">
        <v>14</v>
      </c>
      <c r="B9" s="86"/>
      <c r="C9" s="86"/>
      <c r="D9" s="86"/>
      <c r="E9" s="86"/>
      <c r="F9" s="86"/>
      <c r="G9" s="1"/>
      <c r="H9" s="1"/>
      <c r="I9" s="1"/>
      <c r="J9" s="1"/>
      <c r="K9" s="1"/>
      <c r="L9" s="1"/>
      <c r="M9" s="1"/>
      <c r="N9" s="1"/>
      <c r="O9" s="1"/>
      <c r="P9" s="1"/>
      <c r="Q9" s="1"/>
      <c r="R9" s="1"/>
      <c r="S9" s="1"/>
      <c r="T9" s="1"/>
      <c r="U9" s="1"/>
      <c r="V9" s="1"/>
      <c r="W9" s="1"/>
      <c r="X9" s="1"/>
      <c r="Y9" s="1"/>
      <c r="Z9" s="1"/>
    </row>
    <row r="10">
      <c r="A10" s="3" t="s">
        <v>314</v>
      </c>
      <c r="B10" s="90" t="s">
        <v>108</v>
      </c>
      <c r="C10" s="123"/>
      <c r="D10" s="123"/>
      <c r="E10" s="94"/>
      <c r="F10" s="104" t="s">
        <v>315</v>
      </c>
      <c r="G10" s="1"/>
      <c r="H10" s="1"/>
      <c r="I10" s="1"/>
      <c r="J10" s="1"/>
      <c r="K10" s="1"/>
      <c r="L10" s="1"/>
      <c r="M10" s="1"/>
      <c r="N10" s="1"/>
      <c r="O10" s="1"/>
      <c r="P10" s="1"/>
      <c r="Q10" s="1"/>
      <c r="R10" s="1"/>
      <c r="S10" s="1"/>
      <c r="T10" s="1"/>
      <c r="U10" s="1"/>
      <c r="V10" s="1"/>
      <c r="W10" s="1"/>
      <c r="X10" s="1"/>
      <c r="Y10" s="1"/>
      <c r="Z10" s="1"/>
    </row>
    <row r="11" ht="15.75" customHeight="1">
      <c r="A11" s="3"/>
      <c r="B11" s="94"/>
      <c r="C11" s="97"/>
      <c r="D11" s="97"/>
      <c r="E11" s="94"/>
      <c r="F11" s="97" t="s">
        <v>292</v>
      </c>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3" t="s">
        <v>316</v>
      </c>
      <c r="B14" s="90" t="s">
        <v>108</v>
      </c>
      <c r="C14" s="123" t="s">
        <v>317</v>
      </c>
      <c r="D14" s="94"/>
      <c r="E14" s="94"/>
      <c r="F14" s="94"/>
      <c r="G14" s="1"/>
      <c r="H14" s="1"/>
      <c r="I14" s="1"/>
      <c r="J14" s="1"/>
      <c r="K14" s="1"/>
      <c r="L14" s="1"/>
      <c r="M14" s="1"/>
      <c r="N14" s="1"/>
      <c r="O14" s="1"/>
      <c r="P14" s="1"/>
      <c r="Q14" s="1"/>
      <c r="R14" s="1"/>
      <c r="S14" s="1"/>
      <c r="T14" s="1"/>
      <c r="U14" s="1"/>
      <c r="V14" s="1"/>
      <c r="W14" s="1"/>
      <c r="X14" s="1"/>
      <c r="Y14" s="1"/>
      <c r="Z14" s="1"/>
    </row>
    <row r="15" ht="15.75" customHeight="1">
      <c r="A15" s="3"/>
      <c r="B15" s="94"/>
      <c r="C15" s="97">
        <v>3000.0</v>
      </c>
      <c r="D15" s="94"/>
      <c r="E15" s="94"/>
      <c r="F15" s="94"/>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3" t="s">
        <v>318</v>
      </c>
      <c r="B18" s="90" t="s">
        <v>108</v>
      </c>
      <c r="C18" s="123" t="s">
        <v>319</v>
      </c>
      <c r="D18" s="94"/>
      <c r="E18" s="94"/>
      <c r="F18" s="94"/>
      <c r="G18" s="1"/>
      <c r="H18" s="1"/>
      <c r="I18" s="1"/>
      <c r="J18" s="1"/>
      <c r="K18" s="1"/>
      <c r="L18" s="1"/>
      <c r="M18" s="1"/>
      <c r="N18" s="1"/>
      <c r="O18" s="1"/>
      <c r="P18" s="1"/>
      <c r="Q18" s="1"/>
      <c r="R18" s="1"/>
      <c r="S18" s="1"/>
      <c r="T18" s="1"/>
      <c r="U18" s="1"/>
      <c r="V18" s="1"/>
      <c r="W18" s="1"/>
      <c r="X18" s="1"/>
      <c r="Y18" s="1"/>
      <c r="Z18" s="1"/>
    </row>
    <row r="19" ht="15.75" customHeight="1">
      <c r="A19" s="3"/>
      <c r="B19" s="94"/>
      <c r="C19" s="97" t="s">
        <v>60</v>
      </c>
      <c r="D19" s="94"/>
      <c r="E19" s="94"/>
      <c r="F19" s="94"/>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3" t="s">
        <v>320</v>
      </c>
      <c r="B22" s="90" t="s">
        <v>108</v>
      </c>
      <c r="C22" s="123" t="s">
        <v>321</v>
      </c>
      <c r="D22" s="123" t="s">
        <v>322</v>
      </c>
      <c r="E22" s="94"/>
      <c r="F22" s="104" t="s">
        <v>323</v>
      </c>
      <c r="G22" s="1"/>
      <c r="H22" s="1"/>
      <c r="I22" s="1"/>
      <c r="J22" s="1"/>
      <c r="K22" s="1"/>
      <c r="L22" s="1"/>
      <c r="M22" s="1"/>
      <c r="N22" s="1"/>
      <c r="O22" s="1"/>
      <c r="P22" s="1"/>
      <c r="Q22" s="1"/>
      <c r="R22" s="1"/>
      <c r="S22" s="1"/>
      <c r="T22" s="1"/>
      <c r="U22" s="1"/>
      <c r="V22" s="1"/>
      <c r="W22" s="1"/>
      <c r="X22" s="1"/>
      <c r="Y22" s="1"/>
      <c r="Z22" s="1"/>
    </row>
    <row r="23" ht="15.75" customHeight="1">
      <c r="A23" s="3"/>
      <c r="B23" s="94"/>
      <c r="C23" s="97">
        <v>3000.0</v>
      </c>
      <c r="D23" s="97">
        <v>4500.0</v>
      </c>
      <c r="E23" s="94"/>
      <c r="F23" s="97" t="s">
        <v>292</v>
      </c>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3" t="s">
        <v>324</v>
      </c>
      <c r="B26" s="90" t="s">
        <v>108</v>
      </c>
      <c r="C26" s="123" t="s">
        <v>325</v>
      </c>
      <c r="D26" s="123" t="s">
        <v>326</v>
      </c>
      <c r="E26" s="94"/>
      <c r="F26" s="104" t="s">
        <v>327</v>
      </c>
      <c r="G26" s="1"/>
      <c r="H26" s="1"/>
      <c r="I26" s="1"/>
      <c r="J26" s="1"/>
      <c r="K26" s="1"/>
      <c r="L26" s="1"/>
      <c r="M26" s="1"/>
      <c r="N26" s="1"/>
      <c r="O26" s="1"/>
      <c r="P26" s="1"/>
      <c r="Q26" s="1"/>
      <c r="R26" s="1"/>
      <c r="S26" s="1"/>
      <c r="T26" s="1"/>
      <c r="U26" s="1"/>
      <c r="V26" s="1"/>
      <c r="W26" s="1"/>
      <c r="X26" s="1"/>
      <c r="Y26" s="1"/>
      <c r="Z26" s="1"/>
    </row>
    <row r="27" ht="15.75" customHeight="1">
      <c r="A27" s="124"/>
      <c r="B27" s="94"/>
      <c r="C27" s="97">
        <v>6000.0</v>
      </c>
      <c r="D27" s="125">
        <v>8000.0</v>
      </c>
      <c r="E27" s="94"/>
      <c r="F27" s="97" t="s">
        <v>292</v>
      </c>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3" t="s">
        <v>328</v>
      </c>
      <c r="B30" s="90" t="s">
        <v>108</v>
      </c>
      <c r="C30" s="126" t="s">
        <v>329</v>
      </c>
      <c r="D30" s="104" t="s">
        <v>330</v>
      </c>
      <c r="E30" s="94"/>
      <c r="F30" s="94"/>
      <c r="G30" s="1"/>
      <c r="H30" s="1"/>
      <c r="I30" s="1"/>
      <c r="J30" s="1"/>
      <c r="K30" s="1"/>
      <c r="L30" s="1"/>
      <c r="M30" s="1"/>
      <c r="N30" s="1"/>
      <c r="O30" s="1"/>
      <c r="P30" s="1"/>
      <c r="Q30" s="1"/>
      <c r="R30" s="1"/>
      <c r="S30" s="1"/>
      <c r="T30" s="1"/>
      <c r="U30" s="1"/>
      <c r="V30" s="1"/>
      <c r="W30" s="1"/>
      <c r="X30" s="1"/>
      <c r="Y30" s="1"/>
      <c r="Z30" s="1"/>
    </row>
    <row r="31" ht="15.75" customHeight="1">
      <c r="A31" s="3"/>
      <c r="B31" s="94"/>
      <c r="C31" s="97" t="s">
        <v>331</v>
      </c>
      <c r="D31" s="97" t="s">
        <v>332</v>
      </c>
      <c r="E31" s="94"/>
      <c r="F31" s="94"/>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3" t="s">
        <v>333</v>
      </c>
      <c r="B33" s="90" t="s">
        <v>108</v>
      </c>
      <c r="C33" s="104" t="s">
        <v>334</v>
      </c>
      <c r="D33" s="104"/>
      <c r="E33" s="94"/>
      <c r="F33" s="94"/>
      <c r="G33" s="1"/>
      <c r="H33" s="1"/>
      <c r="I33" s="1"/>
      <c r="J33" s="1"/>
      <c r="K33" s="1"/>
      <c r="L33" s="1"/>
      <c r="M33" s="1"/>
      <c r="N33" s="1"/>
      <c r="O33" s="1"/>
      <c r="P33" s="1"/>
      <c r="Q33" s="1"/>
      <c r="R33" s="1"/>
      <c r="S33" s="1"/>
      <c r="T33" s="1"/>
      <c r="U33" s="1"/>
      <c r="V33" s="1"/>
      <c r="W33" s="1"/>
      <c r="X33" s="1"/>
      <c r="Y33" s="1"/>
      <c r="Z33" s="1"/>
    </row>
    <row r="34" ht="15.75" customHeight="1">
      <c r="A34" s="3"/>
      <c r="B34" s="94"/>
      <c r="C34" s="97" t="s">
        <v>332</v>
      </c>
      <c r="D34" s="97"/>
      <c r="E34" s="94"/>
      <c r="F34" s="94"/>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3" t="s">
        <v>335</v>
      </c>
      <c r="B36" s="90" t="s">
        <v>108</v>
      </c>
      <c r="C36" s="104" t="s">
        <v>336</v>
      </c>
      <c r="D36" s="104"/>
      <c r="E36" s="94"/>
      <c r="F36" s="94"/>
      <c r="G36" s="1"/>
      <c r="H36" s="1"/>
      <c r="I36" s="1"/>
      <c r="J36" s="1"/>
      <c r="K36" s="1"/>
      <c r="L36" s="1"/>
      <c r="M36" s="1"/>
      <c r="N36" s="1"/>
      <c r="O36" s="1"/>
      <c r="P36" s="1"/>
      <c r="Q36" s="1"/>
      <c r="R36" s="1"/>
      <c r="S36" s="1"/>
      <c r="T36" s="1"/>
      <c r="U36" s="1"/>
      <c r="V36" s="1"/>
      <c r="W36" s="1"/>
      <c r="X36" s="1"/>
      <c r="Y36" s="1"/>
      <c r="Z36" s="1"/>
    </row>
    <row r="37" ht="15.75" customHeight="1">
      <c r="A37" s="3"/>
      <c r="B37" s="94"/>
      <c r="C37" s="97" t="s">
        <v>331</v>
      </c>
      <c r="D37" s="97"/>
      <c r="E37" s="94"/>
      <c r="F37" s="94"/>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27" t="s">
        <v>337</v>
      </c>
      <c r="B39" s="90" t="s">
        <v>108</v>
      </c>
      <c r="C39" s="123" t="s">
        <v>338</v>
      </c>
      <c r="D39" s="94"/>
      <c r="E39" s="94"/>
      <c r="F39" s="104"/>
      <c r="G39" s="1"/>
      <c r="H39" s="1"/>
      <c r="I39" s="1"/>
      <c r="J39" s="1"/>
      <c r="K39" s="1"/>
      <c r="L39" s="1"/>
      <c r="M39" s="1"/>
      <c r="N39" s="1"/>
      <c r="O39" s="1"/>
      <c r="P39" s="1"/>
      <c r="Q39" s="1"/>
      <c r="R39" s="1"/>
      <c r="S39" s="1"/>
      <c r="T39" s="1"/>
      <c r="U39" s="1"/>
      <c r="V39" s="1"/>
      <c r="W39" s="1"/>
      <c r="X39" s="1"/>
      <c r="Y39" s="1"/>
      <c r="Z39" s="1"/>
    </row>
    <row r="40" ht="46.5" customHeight="1">
      <c r="A40" s="128" t="s">
        <v>339</v>
      </c>
      <c r="B40" s="94"/>
      <c r="C40" s="125" t="s">
        <v>340</v>
      </c>
      <c r="D40" s="94"/>
      <c r="E40" s="94"/>
      <c r="F40" s="97" t="s">
        <v>292</v>
      </c>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27" t="s">
        <v>341</v>
      </c>
      <c r="B42" s="90" t="s">
        <v>108</v>
      </c>
      <c r="C42" s="129" t="s">
        <v>342</v>
      </c>
      <c r="D42" s="129" t="s">
        <v>343</v>
      </c>
      <c r="E42" s="123" t="s">
        <v>344</v>
      </c>
      <c r="F42" s="104"/>
      <c r="G42" s="1"/>
      <c r="H42" s="1"/>
      <c r="I42" s="1"/>
      <c r="J42" s="1"/>
      <c r="K42" s="1"/>
      <c r="L42" s="1"/>
      <c r="M42" s="1"/>
      <c r="N42" s="1"/>
      <c r="O42" s="1"/>
      <c r="P42" s="1"/>
      <c r="Q42" s="1"/>
      <c r="R42" s="1"/>
      <c r="S42" s="1"/>
      <c r="T42" s="1"/>
      <c r="U42" s="1"/>
      <c r="V42" s="1"/>
      <c r="W42" s="1"/>
      <c r="X42" s="1"/>
      <c r="Y42" s="1"/>
      <c r="Z42" s="1"/>
    </row>
    <row r="43" ht="46.5" customHeight="1">
      <c r="A43" s="128" t="s">
        <v>345</v>
      </c>
      <c r="B43" s="94"/>
      <c r="C43" s="125" t="s">
        <v>346</v>
      </c>
      <c r="D43" s="125" t="s">
        <v>347</v>
      </c>
      <c r="E43" s="125" t="s">
        <v>348</v>
      </c>
      <c r="F43" s="97" t="s">
        <v>292</v>
      </c>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27" t="s">
        <v>349</v>
      </c>
      <c r="B45" s="90" t="s">
        <v>108</v>
      </c>
      <c r="C45" s="123" t="s">
        <v>350</v>
      </c>
      <c r="D45" s="94"/>
      <c r="E45" s="94"/>
      <c r="F45" s="104"/>
      <c r="G45" s="1"/>
      <c r="H45" s="1"/>
      <c r="I45" s="1"/>
      <c r="J45" s="1"/>
      <c r="K45" s="1"/>
      <c r="L45" s="1"/>
      <c r="M45" s="1"/>
      <c r="N45" s="1"/>
      <c r="O45" s="1"/>
      <c r="P45" s="1"/>
      <c r="Q45" s="1"/>
      <c r="R45" s="1"/>
      <c r="S45" s="1"/>
      <c r="T45" s="1"/>
      <c r="U45" s="1"/>
      <c r="V45" s="1"/>
      <c r="W45" s="1"/>
      <c r="X45" s="1"/>
      <c r="Y45" s="1"/>
      <c r="Z45" s="1"/>
    </row>
    <row r="46" ht="46.5" customHeight="1">
      <c r="A46" s="128" t="s">
        <v>351</v>
      </c>
      <c r="B46" s="94"/>
      <c r="C46" s="125" t="s">
        <v>352</v>
      </c>
      <c r="D46" s="94"/>
      <c r="E46" s="94"/>
      <c r="F46" s="97" t="s">
        <v>292</v>
      </c>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E3"/>
    <mergeCell ref="A9:F9"/>
  </mergeCells>
  <hyperlinks>
    <hyperlink display="Return to Home" location="TOC!A1" ref="G3"/>
  </hyperlink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11"/>
    <col customWidth="1" min="2" max="2" width="23.78"/>
    <col customWidth="1" min="3" max="6" width="34.33"/>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110" t="s">
        <v>353</v>
      </c>
      <c r="B3" s="130" t="s">
        <v>354</v>
      </c>
      <c r="C3" s="17"/>
      <c r="D3" s="86"/>
      <c r="E3" s="86"/>
      <c r="F3" s="1"/>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355</v>
      </c>
      <c r="C6" s="88" t="s">
        <v>25</v>
      </c>
      <c r="D6" s="88" t="s">
        <v>26</v>
      </c>
      <c r="E6" s="88" t="s">
        <v>27</v>
      </c>
      <c r="F6" s="88" t="s">
        <v>28</v>
      </c>
      <c r="G6" s="1"/>
      <c r="H6" s="1"/>
      <c r="I6" s="1"/>
      <c r="J6" s="1"/>
      <c r="K6" s="1"/>
      <c r="L6" s="1"/>
      <c r="M6" s="1"/>
      <c r="N6" s="1"/>
      <c r="O6" s="1"/>
      <c r="P6" s="1"/>
      <c r="Q6" s="1"/>
      <c r="R6" s="1"/>
      <c r="S6" s="1"/>
      <c r="T6" s="1"/>
      <c r="U6" s="1"/>
      <c r="V6" s="1"/>
      <c r="W6" s="1"/>
      <c r="X6" s="1"/>
      <c r="Y6" s="1"/>
      <c r="Z6" s="1"/>
    </row>
    <row r="7" ht="30.0" customHeight="1">
      <c r="A7" s="89" t="s">
        <v>107</v>
      </c>
      <c r="B7" s="16"/>
      <c r="C7" s="16"/>
      <c r="D7" s="16"/>
      <c r="E7" s="16"/>
      <c r="F7" s="16"/>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22" t="s">
        <v>14</v>
      </c>
      <c r="B9" s="86"/>
      <c r="C9" s="86"/>
      <c r="D9" s="86"/>
      <c r="E9" s="86"/>
      <c r="F9" s="86"/>
      <c r="G9" s="1"/>
      <c r="H9" s="1"/>
      <c r="I9" s="1"/>
      <c r="J9" s="1"/>
      <c r="K9" s="1"/>
      <c r="L9" s="1"/>
      <c r="M9" s="1"/>
      <c r="N9" s="1"/>
      <c r="O9" s="1"/>
      <c r="P9" s="1"/>
      <c r="Q9" s="1"/>
      <c r="R9" s="1"/>
      <c r="S9" s="1"/>
      <c r="T9" s="1"/>
      <c r="U9" s="1"/>
      <c r="V9" s="1"/>
      <c r="W9" s="1"/>
      <c r="X9" s="1"/>
      <c r="Y9" s="1"/>
      <c r="Z9" s="1"/>
    </row>
    <row r="10">
      <c r="A10" s="3" t="s">
        <v>356</v>
      </c>
      <c r="B10" s="131" t="s">
        <v>357</v>
      </c>
      <c r="C10" s="104" t="s">
        <v>358</v>
      </c>
      <c r="D10" s="104" t="s">
        <v>359</v>
      </c>
      <c r="E10" s="104" t="s">
        <v>360</v>
      </c>
      <c r="F10" s="104" t="s">
        <v>361</v>
      </c>
      <c r="G10" s="1"/>
      <c r="H10" s="1"/>
      <c r="I10" s="1"/>
      <c r="J10" s="1"/>
      <c r="K10" s="1"/>
      <c r="L10" s="1"/>
      <c r="M10" s="1"/>
      <c r="N10" s="1"/>
      <c r="O10" s="1"/>
      <c r="P10" s="1"/>
      <c r="Q10" s="1"/>
      <c r="R10" s="1"/>
      <c r="S10" s="1"/>
      <c r="T10" s="1"/>
      <c r="U10" s="1"/>
      <c r="V10" s="1"/>
      <c r="W10" s="1"/>
      <c r="X10" s="1"/>
      <c r="Y10" s="1"/>
      <c r="Z10" s="1"/>
    </row>
    <row r="11" ht="15.75" customHeight="1">
      <c r="A11" s="132"/>
      <c r="B11" s="94"/>
      <c r="C11" s="97">
        <v>2000.0</v>
      </c>
      <c r="D11" s="97">
        <v>4000.0</v>
      </c>
      <c r="E11" s="97" t="s">
        <v>60</v>
      </c>
      <c r="F11" s="97" t="s">
        <v>60</v>
      </c>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3" t="s">
        <v>362</v>
      </c>
      <c r="B14" s="90" t="s">
        <v>108</v>
      </c>
      <c r="C14" s="104" t="s">
        <v>363</v>
      </c>
      <c r="D14" s="104" t="s">
        <v>364</v>
      </c>
      <c r="E14" s="104" t="s">
        <v>365</v>
      </c>
      <c r="F14" s="104" t="s">
        <v>366</v>
      </c>
      <c r="G14" s="1"/>
      <c r="H14" s="1"/>
      <c r="I14" s="1"/>
      <c r="J14" s="1"/>
      <c r="K14" s="1"/>
      <c r="L14" s="1"/>
      <c r="M14" s="1"/>
      <c r="N14" s="1"/>
      <c r="O14" s="1"/>
      <c r="P14" s="1"/>
      <c r="Q14" s="1"/>
      <c r="R14" s="1"/>
      <c r="S14" s="1"/>
      <c r="T14" s="1"/>
      <c r="U14" s="1"/>
      <c r="V14" s="1"/>
      <c r="W14" s="1"/>
      <c r="X14" s="1"/>
      <c r="Y14" s="1"/>
      <c r="Z14" s="1"/>
    </row>
    <row r="15" ht="15.75" customHeight="1">
      <c r="A15" s="132" t="s">
        <v>367</v>
      </c>
      <c r="B15" s="94"/>
      <c r="C15" s="97">
        <v>20000.0</v>
      </c>
      <c r="D15" s="97">
        <v>30000.0</v>
      </c>
      <c r="E15" s="97">
        <v>35000.0</v>
      </c>
      <c r="F15" s="97" t="s">
        <v>292</v>
      </c>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3" t="s">
        <v>368</v>
      </c>
      <c r="B18" s="90" t="s">
        <v>108</v>
      </c>
      <c r="C18" s="104" t="s">
        <v>369</v>
      </c>
      <c r="D18" s="123"/>
      <c r="E18" s="123"/>
      <c r="F18" s="104" t="s">
        <v>369</v>
      </c>
      <c r="G18" s="1"/>
      <c r="H18" s="1"/>
      <c r="I18" s="1"/>
      <c r="J18" s="1"/>
      <c r="K18" s="1"/>
      <c r="L18" s="1"/>
      <c r="M18" s="1"/>
      <c r="N18" s="1"/>
      <c r="O18" s="1"/>
      <c r="P18" s="1"/>
      <c r="Q18" s="1"/>
      <c r="R18" s="1"/>
      <c r="S18" s="1"/>
      <c r="T18" s="1"/>
      <c r="U18" s="1"/>
      <c r="V18" s="1"/>
      <c r="W18" s="1"/>
      <c r="X18" s="1"/>
      <c r="Y18" s="1"/>
      <c r="Z18" s="1"/>
    </row>
    <row r="19" ht="15.75" customHeight="1">
      <c r="A19" s="132" t="s">
        <v>370</v>
      </c>
      <c r="B19" s="94"/>
      <c r="C19" s="97" t="s">
        <v>292</v>
      </c>
      <c r="D19" s="97"/>
      <c r="E19" s="97"/>
      <c r="F19" s="97" t="s">
        <v>292</v>
      </c>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3" t="s">
        <v>371</v>
      </c>
      <c r="B22" s="90" t="s">
        <v>108</v>
      </c>
      <c r="C22" s="123" t="s">
        <v>372</v>
      </c>
      <c r="D22" s="1"/>
      <c r="E22" s="1"/>
      <c r="F22" s="1"/>
      <c r="G22" s="1"/>
      <c r="H22" s="1"/>
      <c r="I22" s="1"/>
      <c r="J22" s="1"/>
      <c r="K22" s="1"/>
      <c r="L22" s="1"/>
      <c r="M22" s="1"/>
      <c r="N22" s="1"/>
      <c r="O22" s="1"/>
      <c r="P22" s="1"/>
      <c r="Q22" s="1"/>
      <c r="R22" s="1"/>
      <c r="S22" s="1"/>
      <c r="T22" s="1"/>
      <c r="U22" s="1"/>
      <c r="V22" s="1"/>
      <c r="W22" s="1"/>
      <c r="X22" s="1"/>
      <c r="Y22" s="1"/>
      <c r="Z22" s="1"/>
    </row>
    <row r="23" ht="15.75" customHeight="1">
      <c r="A23" s="3"/>
      <c r="B23" s="94"/>
      <c r="C23" s="97">
        <v>2500.0</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3" t="s">
        <v>373</v>
      </c>
      <c r="B26" s="90" t="s">
        <v>108</v>
      </c>
      <c r="C26" s="123" t="s">
        <v>374</v>
      </c>
      <c r="D26" s="1"/>
      <c r="E26" s="1"/>
      <c r="F26" s="1"/>
      <c r="G26" s="1"/>
      <c r="H26" s="1"/>
      <c r="I26" s="1"/>
      <c r="J26" s="1"/>
      <c r="K26" s="1"/>
      <c r="L26" s="1"/>
      <c r="M26" s="1"/>
      <c r="N26" s="1"/>
      <c r="O26" s="1"/>
      <c r="P26" s="1"/>
      <c r="Q26" s="1"/>
      <c r="R26" s="1"/>
      <c r="S26" s="1"/>
      <c r="T26" s="1"/>
      <c r="U26" s="1"/>
      <c r="V26" s="1"/>
      <c r="W26" s="1"/>
      <c r="X26" s="1"/>
      <c r="Y26" s="1"/>
      <c r="Z26" s="1"/>
    </row>
    <row r="27" ht="15.75" customHeight="1">
      <c r="A27" s="124"/>
      <c r="B27" s="94"/>
      <c r="C27" s="97" t="s">
        <v>375</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3" t="s">
        <v>376</v>
      </c>
      <c r="B30" s="90" t="s">
        <v>108</v>
      </c>
      <c r="C30" s="91" t="s">
        <v>377</v>
      </c>
      <c r="D30" s="1"/>
      <c r="E30" s="1"/>
      <c r="F30" s="1"/>
      <c r="G30" s="1"/>
      <c r="H30" s="1"/>
      <c r="I30" s="1"/>
      <c r="J30" s="1"/>
      <c r="K30" s="1"/>
      <c r="L30" s="1"/>
      <c r="M30" s="1"/>
      <c r="N30" s="1"/>
      <c r="O30" s="1"/>
      <c r="P30" s="1"/>
      <c r="Q30" s="1"/>
      <c r="R30" s="1"/>
      <c r="S30" s="1"/>
      <c r="T30" s="1"/>
      <c r="U30" s="1"/>
      <c r="V30" s="1"/>
      <c r="W30" s="1"/>
      <c r="X30" s="1"/>
      <c r="Y30" s="1"/>
      <c r="Z30" s="1"/>
    </row>
    <row r="31" ht="15.75" customHeight="1">
      <c r="A31" s="3"/>
      <c r="B31" s="94"/>
      <c r="C31" s="97">
        <v>1000.0</v>
      </c>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3" t="s">
        <v>378</v>
      </c>
      <c r="B34" s="90" t="s">
        <v>108</v>
      </c>
      <c r="C34" s="91" t="s">
        <v>379</v>
      </c>
      <c r="D34" s="1"/>
      <c r="E34" s="1"/>
      <c r="F34" s="1"/>
      <c r="G34" s="1"/>
      <c r="H34" s="1"/>
      <c r="I34" s="1"/>
      <c r="J34" s="1"/>
      <c r="K34" s="1"/>
      <c r="L34" s="1"/>
      <c r="M34" s="1"/>
      <c r="N34" s="1"/>
      <c r="O34" s="1"/>
      <c r="P34" s="1"/>
      <c r="Q34" s="1"/>
      <c r="R34" s="1"/>
      <c r="S34" s="1"/>
      <c r="T34" s="1"/>
      <c r="U34" s="1"/>
      <c r="V34" s="1"/>
      <c r="W34" s="1"/>
      <c r="X34" s="1"/>
      <c r="Y34" s="1"/>
      <c r="Z34" s="1"/>
    </row>
    <row r="35" ht="15.75" customHeight="1">
      <c r="A35" s="3"/>
      <c r="B35" s="94"/>
      <c r="C35" s="97">
        <v>1000.0</v>
      </c>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3" t="s">
        <v>380</v>
      </c>
      <c r="B38" s="90" t="s">
        <v>108</v>
      </c>
      <c r="C38" s="91" t="s">
        <v>381</v>
      </c>
      <c r="D38" s="1"/>
      <c r="E38" s="1"/>
      <c r="F38" s="1"/>
      <c r="G38" s="1"/>
      <c r="H38" s="1"/>
      <c r="I38" s="1"/>
      <c r="J38" s="1"/>
      <c r="K38" s="1"/>
      <c r="L38" s="1"/>
      <c r="M38" s="1"/>
      <c r="N38" s="1"/>
      <c r="O38" s="1"/>
      <c r="P38" s="1"/>
      <c r="Q38" s="1"/>
      <c r="R38" s="1"/>
      <c r="S38" s="1"/>
      <c r="T38" s="1"/>
      <c r="U38" s="1"/>
      <c r="V38" s="1"/>
      <c r="W38" s="1"/>
      <c r="X38" s="1"/>
      <c r="Y38" s="1"/>
      <c r="Z38" s="1"/>
    </row>
    <row r="39" ht="15.75" customHeight="1">
      <c r="A39" s="3"/>
      <c r="B39" s="94"/>
      <c r="C39" s="125">
        <v>2000.0</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33"/>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33"/>
      <c r="D41" s="1"/>
      <c r="E41" s="1"/>
      <c r="F41" s="1"/>
      <c r="G41" s="1"/>
      <c r="H41" s="1"/>
      <c r="I41" s="1"/>
      <c r="J41" s="1"/>
      <c r="K41" s="1"/>
      <c r="L41" s="1"/>
      <c r="M41" s="1"/>
      <c r="N41" s="1"/>
      <c r="O41" s="1"/>
      <c r="P41" s="1"/>
      <c r="Q41" s="1"/>
      <c r="R41" s="1"/>
      <c r="S41" s="1"/>
      <c r="T41" s="1"/>
      <c r="U41" s="1"/>
      <c r="V41" s="1"/>
      <c r="W41" s="1"/>
      <c r="X41" s="1"/>
      <c r="Y41" s="1"/>
      <c r="Z41" s="1"/>
    </row>
    <row r="42" ht="15.75" customHeight="1">
      <c r="A42" s="3" t="s">
        <v>382</v>
      </c>
      <c r="B42" s="90" t="s">
        <v>108</v>
      </c>
      <c r="C42" s="91" t="s">
        <v>383</v>
      </c>
      <c r="D42" s="1"/>
      <c r="E42" s="1"/>
      <c r="F42" s="1"/>
      <c r="G42" s="1"/>
      <c r="H42" s="1"/>
      <c r="I42" s="1"/>
      <c r="J42" s="1"/>
      <c r="K42" s="1"/>
      <c r="L42" s="1"/>
      <c r="M42" s="1"/>
      <c r="N42" s="1"/>
      <c r="O42" s="1"/>
      <c r="P42" s="1"/>
      <c r="Q42" s="1"/>
      <c r="R42" s="1"/>
      <c r="S42" s="1"/>
      <c r="T42" s="1"/>
      <c r="U42" s="1"/>
      <c r="V42" s="1"/>
      <c r="W42" s="1"/>
      <c r="X42" s="1"/>
      <c r="Y42" s="1"/>
      <c r="Z42" s="1"/>
    </row>
    <row r="43" ht="15.75" customHeight="1">
      <c r="A43" s="3"/>
      <c r="B43" s="94"/>
      <c r="C43" s="97">
        <v>400.0</v>
      </c>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E3"/>
    <mergeCell ref="A9:F9"/>
  </mergeCells>
  <hyperlinks>
    <hyperlink r:id="rId1" ref="B3"/>
    <hyperlink display="Return to Home" location="TOC!A1" ref="G3"/>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34.11"/>
    <col customWidth="1" min="2" max="2" width="23.78"/>
    <col customWidth="1" min="3" max="6" width="34.33"/>
    <col customWidth="1" min="7" max="26" width="10.56"/>
  </cols>
  <sheetData>
    <row r="1" ht="15.75" customHeight="1">
      <c r="A1" s="134" t="s">
        <v>286</v>
      </c>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384</v>
      </c>
      <c r="B3" s="3"/>
      <c r="C3" s="85" t="s">
        <v>385</v>
      </c>
      <c r="D3" s="86"/>
      <c r="E3" s="86"/>
      <c r="F3" s="1"/>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30.0" customHeight="1">
      <c r="A7" s="89" t="s">
        <v>107</v>
      </c>
      <c r="B7" s="16"/>
      <c r="C7" s="16"/>
      <c r="D7" s="16"/>
      <c r="E7" s="16"/>
      <c r="F7" s="16"/>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22" t="s">
        <v>14</v>
      </c>
      <c r="B9" s="86"/>
      <c r="C9" s="86"/>
      <c r="D9" s="86"/>
      <c r="E9" s="86"/>
      <c r="F9" s="86"/>
      <c r="G9" s="1"/>
      <c r="H9" s="1"/>
      <c r="I9" s="1"/>
      <c r="J9" s="1"/>
      <c r="K9" s="1"/>
      <c r="L9" s="1"/>
      <c r="M9" s="1"/>
      <c r="N9" s="1"/>
      <c r="O9" s="1"/>
      <c r="P9" s="1"/>
      <c r="Q9" s="1"/>
      <c r="R9" s="1"/>
      <c r="S9" s="1"/>
      <c r="T9" s="1"/>
      <c r="U9" s="1"/>
      <c r="V9" s="1"/>
      <c r="W9" s="1"/>
      <c r="X9" s="1"/>
      <c r="Y9" s="1"/>
      <c r="Z9" s="1"/>
    </row>
    <row r="10">
      <c r="A10" s="3" t="s">
        <v>386</v>
      </c>
      <c r="B10" s="90" t="s">
        <v>108</v>
      </c>
      <c r="C10" s="126" t="s">
        <v>387</v>
      </c>
      <c r="D10" s="126" t="s">
        <v>388</v>
      </c>
      <c r="E10" s="126" t="s">
        <v>389</v>
      </c>
      <c r="F10" s="104" t="s">
        <v>390</v>
      </c>
      <c r="G10" s="1"/>
      <c r="H10" s="1"/>
      <c r="I10" s="1"/>
      <c r="J10" s="1"/>
      <c r="K10" s="1"/>
      <c r="L10" s="1"/>
      <c r="M10" s="1"/>
      <c r="N10" s="1"/>
      <c r="O10" s="1"/>
      <c r="P10" s="1"/>
      <c r="Q10" s="1"/>
      <c r="R10" s="1"/>
      <c r="S10" s="1"/>
      <c r="T10" s="1"/>
      <c r="U10" s="1"/>
      <c r="V10" s="1"/>
      <c r="W10" s="1"/>
      <c r="X10" s="1"/>
      <c r="Y10" s="1"/>
      <c r="Z10" s="1"/>
    </row>
    <row r="11" ht="15.75" customHeight="1">
      <c r="A11" s="3"/>
      <c r="B11" s="94"/>
      <c r="C11" s="135">
        <v>2100.0</v>
      </c>
      <c r="D11" s="135">
        <v>3100.0</v>
      </c>
      <c r="E11" s="135">
        <v>5100.0</v>
      </c>
      <c r="F11" s="97" t="s">
        <v>292</v>
      </c>
      <c r="G11" s="1"/>
      <c r="H11" s="1"/>
      <c r="I11" s="1"/>
      <c r="J11" s="1"/>
      <c r="K11" s="1"/>
      <c r="L11" s="1"/>
      <c r="M11" s="1"/>
      <c r="N11" s="1"/>
      <c r="O11" s="1"/>
      <c r="P11" s="1"/>
      <c r="Q11" s="1"/>
      <c r="R11" s="1"/>
      <c r="S11" s="1"/>
      <c r="T11" s="1"/>
      <c r="U11" s="1"/>
      <c r="V11" s="1"/>
      <c r="W11" s="1"/>
      <c r="X11" s="1"/>
      <c r="Y11" s="1"/>
      <c r="Z11" s="1"/>
    </row>
    <row r="12" ht="15.75" customHeight="1">
      <c r="A12" s="136" t="s">
        <v>391</v>
      </c>
      <c r="B12" s="94"/>
      <c r="C12" s="137">
        <v>2000.0</v>
      </c>
      <c r="D12" s="137">
        <v>3000.0</v>
      </c>
      <c r="E12" s="137">
        <v>5000.0</v>
      </c>
      <c r="F12" s="138"/>
      <c r="G12" s="1"/>
      <c r="H12" s="1"/>
      <c r="I12" s="1"/>
      <c r="J12" s="1"/>
      <c r="K12" s="1"/>
      <c r="L12" s="1"/>
      <c r="M12" s="1"/>
      <c r="N12" s="1"/>
      <c r="O12" s="1"/>
      <c r="P12" s="1"/>
      <c r="Q12" s="1"/>
      <c r="R12" s="1"/>
      <c r="S12" s="1"/>
      <c r="T12" s="1"/>
      <c r="U12" s="1"/>
      <c r="V12" s="1"/>
      <c r="W12" s="1"/>
      <c r="X12" s="1"/>
      <c r="Y12" s="1"/>
      <c r="Z12" s="1"/>
    </row>
    <row r="13" ht="15.75" customHeight="1">
      <c r="A13" s="1"/>
      <c r="B13" s="1"/>
      <c r="C13" s="1" t="s">
        <v>392</v>
      </c>
      <c r="D13" s="1" t="s">
        <v>393</v>
      </c>
      <c r="E13" s="1" t="s">
        <v>394</v>
      </c>
      <c r="F13" s="1" t="s">
        <v>395</v>
      </c>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3" t="s">
        <v>61</v>
      </c>
      <c r="B15" s="90" t="s">
        <v>108</v>
      </c>
      <c r="C15" s="123" t="s">
        <v>396</v>
      </c>
      <c r="D15" s="123" t="s">
        <v>397</v>
      </c>
      <c r="E15" s="123" t="s">
        <v>398</v>
      </c>
      <c r="F15" s="104" t="s">
        <v>399</v>
      </c>
      <c r="G15" s="1"/>
      <c r="H15" s="1"/>
      <c r="I15" s="1"/>
      <c r="J15" s="1"/>
      <c r="K15" s="1"/>
      <c r="L15" s="1"/>
      <c r="M15" s="1"/>
      <c r="N15" s="1"/>
      <c r="O15" s="1"/>
      <c r="P15" s="1"/>
      <c r="Q15" s="1"/>
      <c r="R15" s="1"/>
      <c r="S15" s="1"/>
      <c r="T15" s="1"/>
      <c r="U15" s="1"/>
      <c r="V15" s="1"/>
      <c r="W15" s="1"/>
      <c r="X15" s="1"/>
      <c r="Y15" s="1"/>
      <c r="Z15" s="1"/>
    </row>
    <row r="16" ht="15.75" customHeight="1">
      <c r="A16" s="3"/>
      <c r="B16" s="94"/>
      <c r="C16" s="97">
        <v>8000.0</v>
      </c>
      <c r="D16" s="97">
        <v>11500.0</v>
      </c>
      <c r="E16" s="97">
        <v>14000.0</v>
      </c>
      <c r="F16" s="97" t="s">
        <v>292</v>
      </c>
      <c r="G16" s="1"/>
      <c r="H16" s="1"/>
      <c r="I16" s="1"/>
      <c r="J16" s="1"/>
      <c r="K16" s="1"/>
      <c r="L16" s="1"/>
      <c r="M16" s="1"/>
      <c r="N16" s="1"/>
      <c r="O16" s="1"/>
      <c r="P16" s="1"/>
      <c r="Q16" s="1"/>
      <c r="R16" s="1"/>
      <c r="S16" s="1"/>
      <c r="T16" s="1"/>
      <c r="U16" s="1"/>
      <c r="V16" s="1"/>
      <c r="W16" s="1"/>
      <c r="X16" s="1"/>
      <c r="Y16" s="1"/>
      <c r="Z16" s="1"/>
    </row>
    <row r="17" ht="15.75" customHeight="1">
      <c r="A17" s="1"/>
      <c r="B17" s="1"/>
      <c r="C17" s="1" t="s">
        <v>400</v>
      </c>
      <c r="D17" s="1" t="s">
        <v>401</v>
      </c>
      <c r="E17" s="1" t="s">
        <v>402</v>
      </c>
      <c r="F17" s="1" t="s">
        <v>403</v>
      </c>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3" t="s">
        <v>404</v>
      </c>
      <c r="B19" s="90" t="s">
        <v>108</v>
      </c>
      <c r="C19" s="129" t="s">
        <v>405</v>
      </c>
      <c r="D19" s="129" t="s">
        <v>406</v>
      </c>
      <c r="E19" s="129" t="s">
        <v>407</v>
      </c>
      <c r="F19" s="104" t="s">
        <v>408</v>
      </c>
      <c r="G19" s="1"/>
      <c r="H19" s="1"/>
      <c r="I19" s="1"/>
      <c r="J19" s="1"/>
      <c r="K19" s="1"/>
      <c r="L19" s="1"/>
      <c r="M19" s="1"/>
      <c r="N19" s="1"/>
      <c r="O19" s="1"/>
      <c r="P19" s="1"/>
      <c r="Q19" s="1"/>
      <c r="R19" s="1"/>
      <c r="S19" s="1"/>
      <c r="T19" s="1"/>
      <c r="U19" s="1"/>
      <c r="V19" s="1"/>
      <c r="W19" s="1"/>
      <c r="X19" s="1"/>
      <c r="Y19" s="1"/>
      <c r="Z19" s="1"/>
    </row>
    <row r="20" ht="15.75" customHeight="1">
      <c r="A20" s="3"/>
      <c r="B20" s="94"/>
      <c r="C20" s="135">
        <v>6100.0</v>
      </c>
      <c r="D20" s="135">
        <v>8100.0</v>
      </c>
      <c r="E20" s="135">
        <v>9100.0</v>
      </c>
      <c r="F20" s="97" t="s">
        <v>292</v>
      </c>
      <c r="G20" s="1"/>
      <c r="H20" s="1"/>
      <c r="I20" s="1"/>
      <c r="J20" s="1"/>
      <c r="K20" s="1"/>
      <c r="L20" s="1"/>
      <c r="M20" s="1"/>
      <c r="N20" s="1"/>
      <c r="O20" s="1"/>
      <c r="P20" s="1"/>
      <c r="Q20" s="1"/>
      <c r="R20" s="1"/>
      <c r="S20" s="1"/>
      <c r="T20" s="1"/>
      <c r="U20" s="1"/>
      <c r="V20" s="1"/>
      <c r="W20" s="1"/>
      <c r="X20" s="1"/>
      <c r="Y20" s="1"/>
      <c r="Z20" s="1"/>
    </row>
    <row r="21" ht="15.75" customHeight="1">
      <c r="A21" s="1"/>
      <c r="B21" s="1"/>
      <c r="C21" s="1" t="s">
        <v>400</v>
      </c>
      <c r="D21" s="1" t="s">
        <v>401</v>
      </c>
      <c r="E21" s="1" t="s">
        <v>402</v>
      </c>
      <c r="F21" s="1" t="s">
        <v>403</v>
      </c>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3" t="s">
        <v>62</v>
      </c>
      <c r="B23" s="90" t="s">
        <v>409</v>
      </c>
      <c r="C23" s="129" t="s">
        <v>410</v>
      </c>
      <c r="D23" s="129" t="s">
        <v>411</v>
      </c>
      <c r="E23" s="129" t="s">
        <v>412</v>
      </c>
      <c r="F23" s="104" t="s">
        <v>413</v>
      </c>
      <c r="G23" s="1"/>
      <c r="H23" s="1"/>
      <c r="I23" s="1"/>
      <c r="J23" s="1"/>
      <c r="K23" s="1"/>
      <c r="L23" s="1"/>
      <c r="M23" s="1"/>
      <c r="N23" s="1"/>
      <c r="O23" s="1"/>
      <c r="P23" s="1"/>
      <c r="Q23" s="1"/>
      <c r="R23" s="1"/>
      <c r="S23" s="1"/>
      <c r="T23" s="1"/>
      <c r="U23" s="1"/>
      <c r="V23" s="1"/>
      <c r="W23" s="1"/>
      <c r="X23" s="1"/>
      <c r="Y23" s="1"/>
      <c r="Z23" s="1"/>
    </row>
    <row r="24" ht="15.75" customHeight="1">
      <c r="A24" s="3"/>
      <c r="B24" s="139" t="s">
        <v>414</v>
      </c>
      <c r="C24" s="97">
        <v>2000.0</v>
      </c>
      <c r="D24" s="97">
        <v>3500.0</v>
      </c>
      <c r="E24" s="135">
        <v>6000.0</v>
      </c>
      <c r="F24" s="97" t="s">
        <v>292</v>
      </c>
      <c r="G24" s="1"/>
      <c r="H24" s="1"/>
      <c r="I24" s="1"/>
      <c r="J24" s="1"/>
      <c r="K24" s="1"/>
      <c r="L24" s="1"/>
      <c r="M24" s="1"/>
      <c r="N24" s="1"/>
      <c r="O24" s="1"/>
      <c r="P24" s="1"/>
      <c r="Q24" s="1"/>
      <c r="R24" s="1"/>
      <c r="S24" s="1"/>
      <c r="T24" s="1"/>
      <c r="U24" s="1"/>
      <c r="V24" s="1"/>
      <c r="W24" s="1"/>
      <c r="X24" s="1"/>
      <c r="Y24" s="1"/>
      <c r="Z24" s="1"/>
    </row>
    <row r="25" ht="15.75" customHeight="1">
      <c r="A25" s="1"/>
      <c r="B25" s="1"/>
      <c r="C25" s="1" t="s">
        <v>415</v>
      </c>
      <c r="D25" s="1" t="s">
        <v>416</v>
      </c>
      <c r="E25" s="1" t="s">
        <v>417</v>
      </c>
      <c r="F25" s="1" t="s">
        <v>417</v>
      </c>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3" t="s">
        <v>63</v>
      </c>
      <c r="B27" s="90" t="s">
        <v>108</v>
      </c>
      <c r="C27" s="140" t="s">
        <v>418</v>
      </c>
      <c r="D27" s="123" t="s">
        <v>419</v>
      </c>
      <c r="E27" s="123" t="s">
        <v>420</v>
      </c>
      <c r="F27" s="104" t="s">
        <v>421</v>
      </c>
      <c r="G27" s="1"/>
      <c r="H27" s="1"/>
      <c r="I27" s="1"/>
      <c r="J27" s="1"/>
      <c r="K27" s="1"/>
      <c r="L27" s="1"/>
      <c r="M27" s="1"/>
      <c r="N27" s="1"/>
      <c r="O27" s="1"/>
      <c r="P27" s="1"/>
      <c r="Q27" s="1"/>
      <c r="R27" s="1"/>
      <c r="S27" s="1"/>
      <c r="T27" s="1"/>
      <c r="U27" s="1"/>
      <c r="V27" s="1"/>
      <c r="W27" s="1"/>
      <c r="X27" s="1"/>
      <c r="Y27" s="1"/>
      <c r="Z27" s="1"/>
    </row>
    <row r="28" ht="15.75" customHeight="1">
      <c r="A28" s="124" t="s">
        <v>422</v>
      </c>
      <c r="B28" s="94"/>
      <c r="C28" s="97" t="s">
        <v>423</v>
      </c>
      <c r="D28" s="125" t="s">
        <v>424</v>
      </c>
      <c r="E28" s="125" t="s">
        <v>425</v>
      </c>
      <c r="F28" s="97" t="s">
        <v>292</v>
      </c>
      <c r="G28" s="1"/>
      <c r="H28" s="1"/>
      <c r="I28" s="1"/>
      <c r="J28" s="1"/>
      <c r="K28" s="1"/>
      <c r="L28" s="1"/>
      <c r="M28" s="1"/>
      <c r="N28" s="1"/>
      <c r="O28" s="1"/>
      <c r="P28" s="1"/>
      <c r="Q28" s="1"/>
      <c r="R28" s="1"/>
      <c r="S28" s="1"/>
      <c r="T28" s="1"/>
      <c r="U28" s="1"/>
      <c r="V28" s="1"/>
      <c r="W28" s="1"/>
      <c r="X28" s="1"/>
      <c r="Y28" s="1"/>
      <c r="Z28" s="1"/>
    </row>
    <row r="29" ht="15.75" customHeight="1">
      <c r="A29" s="1"/>
      <c r="B29" s="1"/>
      <c r="C29" s="1" t="s">
        <v>426</v>
      </c>
      <c r="D29" s="1" t="s">
        <v>427</v>
      </c>
      <c r="E29" s="1" t="s">
        <v>428</v>
      </c>
      <c r="F29" s="1" t="s">
        <v>429</v>
      </c>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3" t="s">
        <v>64</v>
      </c>
      <c r="B31" s="90" t="s">
        <v>108</v>
      </c>
      <c r="C31" s="126" t="s">
        <v>430</v>
      </c>
      <c r="D31" s="126" t="s">
        <v>431</v>
      </c>
      <c r="E31" s="94"/>
      <c r="F31" s="104" t="s">
        <v>432</v>
      </c>
      <c r="G31" s="1"/>
      <c r="H31" s="1"/>
      <c r="I31" s="1"/>
      <c r="J31" s="1"/>
      <c r="K31" s="1"/>
      <c r="L31" s="1"/>
      <c r="M31" s="1"/>
      <c r="N31" s="1"/>
      <c r="O31" s="1"/>
      <c r="P31" s="1"/>
      <c r="Q31" s="1"/>
      <c r="R31" s="1"/>
      <c r="S31" s="1"/>
      <c r="T31" s="1"/>
      <c r="U31" s="1"/>
      <c r="V31" s="1"/>
      <c r="W31" s="1"/>
      <c r="X31" s="1"/>
      <c r="Y31" s="1"/>
      <c r="Z31" s="1"/>
    </row>
    <row r="32" ht="15.75" customHeight="1">
      <c r="A32" s="3"/>
      <c r="B32" s="94"/>
      <c r="C32" s="97">
        <v>3000.0</v>
      </c>
      <c r="D32" s="97">
        <v>5000.0</v>
      </c>
      <c r="E32" s="94"/>
      <c r="F32" s="97" t="s">
        <v>292</v>
      </c>
      <c r="G32" s="1"/>
      <c r="H32" s="1"/>
      <c r="I32" s="1"/>
      <c r="J32" s="1"/>
      <c r="K32" s="1"/>
      <c r="L32" s="1"/>
      <c r="M32" s="1"/>
      <c r="N32" s="1"/>
      <c r="O32" s="1"/>
      <c r="P32" s="1"/>
      <c r="Q32" s="1"/>
      <c r="R32" s="1"/>
      <c r="S32" s="1"/>
      <c r="T32" s="1"/>
      <c r="U32" s="1"/>
      <c r="V32" s="1"/>
      <c r="W32" s="1"/>
      <c r="X32" s="1"/>
      <c r="Y32" s="1"/>
      <c r="Z32" s="1"/>
    </row>
    <row r="33" ht="15.75" customHeight="1">
      <c r="A33" s="1"/>
      <c r="B33" s="1"/>
      <c r="C33" s="1" t="s">
        <v>433</v>
      </c>
      <c r="D33" s="1" t="s">
        <v>434</v>
      </c>
      <c r="E33" s="1"/>
      <c r="F33" s="1" t="s">
        <v>435</v>
      </c>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3" t="s">
        <v>436</v>
      </c>
      <c r="B35" s="90" t="s">
        <v>108</v>
      </c>
      <c r="C35" s="91" t="s">
        <v>437</v>
      </c>
      <c r="D35" s="1"/>
      <c r="E35" s="1"/>
      <c r="F35" s="1"/>
      <c r="G35" s="1"/>
      <c r="H35" s="1"/>
      <c r="I35" s="1"/>
      <c r="J35" s="1"/>
      <c r="K35" s="1"/>
      <c r="L35" s="1"/>
      <c r="M35" s="1"/>
      <c r="N35" s="1"/>
      <c r="O35" s="1"/>
      <c r="P35" s="1"/>
      <c r="Q35" s="1"/>
      <c r="R35" s="1"/>
      <c r="S35" s="1"/>
      <c r="T35" s="1"/>
      <c r="U35" s="1"/>
      <c r="V35" s="1"/>
      <c r="W35" s="1"/>
      <c r="X35" s="1"/>
      <c r="Y35" s="1"/>
      <c r="Z35" s="1"/>
    </row>
    <row r="36" ht="15.75" customHeight="1">
      <c r="A36" s="3"/>
      <c r="B36" s="96"/>
      <c r="C36" s="97" t="s">
        <v>292</v>
      </c>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5"/>
      <c r="C38" s="5"/>
      <c r="D38" s="5"/>
      <c r="E38" s="5"/>
      <c r="F38" s="5"/>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C3:E3"/>
    <mergeCell ref="A9:F9"/>
  </mergeCells>
  <hyperlinks>
    <hyperlink display="Return to Home" location="TOC!A1" ref="G3"/>
    <hyperlink r:id="rId1" ref="B24"/>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27.44"/>
    <col customWidth="1" min="2" max="2" width="28.67"/>
    <col customWidth="1" min="3" max="3" width="36.11"/>
    <col customWidth="1" min="4" max="4" width="37.0"/>
    <col customWidth="1" min="5" max="6" width="36.67"/>
    <col customWidth="1" min="7" max="26" width="10.56"/>
  </cols>
  <sheetData>
    <row r="1" ht="15.75" customHeight="1">
      <c r="A1" s="141" t="s">
        <v>438</v>
      </c>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142" t="s">
        <v>439</v>
      </c>
      <c r="B3" s="3"/>
      <c r="C3" s="85" t="s">
        <v>440</v>
      </c>
      <c r="D3" s="86"/>
      <c r="E3" s="86"/>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441</v>
      </c>
      <c r="F6" s="88" t="s">
        <v>28</v>
      </c>
      <c r="G6" s="1"/>
      <c r="H6" s="1"/>
      <c r="I6" s="1"/>
      <c r="J6" s="1"/>
      <c r="K6" s="1"/>
      <c r="L6" s="1"/>
      <c r="M6" s="1"/>
      <c r="N6" s="1"/>
      <c r="O6" s="1"/>
      <c r="P6" s="1"/>
      <c r="Q6" s="1"/>
      <c r="R6" s="1"/>
      <c r="S6" s="1"/>
      <c r="T6" s="1"/>
      <c r="U6" s="1"/>
      <c r="V6" s="1"/>
      <c r="W6" s="1"/>
      <c r="X6" s="1"/>
      <c r="Y6" s="1"/>
      <c r="Z6" s="1"/>
    </row>
    <row r="7" ht="30.0" customHeight="1">
      <c r="A7" s="89" t="s">
        <v>107</v>
      </c>
      <c r="B7" s="16"/>
      <c r="C7" s="16"/>
      <c r="D7" s="16"/>
      <c r="E7" s="16"/>
      <c r="F7" s="16"/>
      <c r="G7" s="1"/>
      <c r="H7" s="1"/>
      <c r="I7" s="1"/>
      <c r="J7" s="1"/>
      <c r="K7" s="1"/>
      <c r="L7" s="1"/>
      <c r="M7" s="1"/>
      <c r="N7" s="1"/>
      <c r="O7" s="1"/>
      <c r="P7" s="1"/>
      <c r="Q7" s="1"/>
      <c r="R7" s="1"/>
      <c r="S7" s="1"/>
      <c r="T7" s="1"/>
      <c r="U7" s="1"/>
      <c r="V7" s="1"/>
      <c r="W7" s="1"/>
      <c r="X7" s="1"/>
      <c r="Y7" s="1"/>
      <c r="Z7" s="1"/>
    </row>
    <row r="8" ht="15.75" customHeight="1">
      <c r="A8" s="122" t="s">
        <v>442</v>
      </c>
      <c r="B8" s="86"/>
      <c r="C8" s="86"/>
      <c r="D8" s="86"/>
      <c r="E8" s="86"/>
      <c r="F8" s="86"/>
      <c r="G8" s="1"/>
      <c r="H8" s="1"/>
      <c r="I8" s="1"/>
      <c r="J8" s="1"/>
      <c r="K8" s="1"/>
      <c r="L8" s="1"/>
      <c r="M8" s="1"/>
      <c r="N8" s="1"/>
      <c r="O8" s="1"/>
      <c r="P8" s="1"/>
      <c r="Q8" s="1"/>
      <c r="R8" s="1"/>
      <c r="S8" s="1"/>
      <c r="T8" s="1"/>
      <c r="U8" s="1"/>
      <c r="V8" s="1"/>
      <c r="W8" s="1"/>
      <c r="X8" s="1"/>
      <c r="Y8" s="1"/>
      <c r="Z8" s="1"/>
    </row>
    <row r="9">
      <c r="A9" s="13" t="s">
        <v>77</v>
      </c>
      <c r="B9" s="90" t="s">
        <v>409</v>
      </c>
      <c r="C9" s="143" t="s">
        <v>443</v>
      </c>
      <c r="D9" s="143" t="s">
        <v>444</v>
      </c>
      <c r="E9" s="143" t="s">
        <v>445</v>
      </c>
      <c r="F9" s="123" t="s">
        <v>446</v>
      </c>
      <c r="G9" s="1"/>
      <c r="H9" s="1"/>
      <c r="I9" s="1"/>
      <c r="J9" s="1"/>
      <c r="K9" s="1"/>
      <c r="L9" s="1"/>
      <c r="M9" s="1"/>
      <c r="N9" s="1"/>
      <c r="O9" s="1"/>
      <c r="P9" s="1"/>
      <c r="Q9" s="1"/>
      <c r="R9" s="1"/>
      <c r="S9" s="1"/>
      <c r="T9" s="1"/>
      <c r="U9" s="1"/>
      <c r="V9" s="1"/>
      <c r="W9" s="1"/>
      <c r="X9" s="1"/>
      <c r="Y9" s="1"/>
      <c r="Z9" s="1"/>
    </row>
    <row r="10" ht="15.75" customHeight="1">
      <c r="A10" s="13"/>
      <c r="B10" s="139" t="s">
        <v>447</v>
      </c>
      <c r="C10" s="12">
        <v>800.0</v>
      </c>
      <c r="D10" s="12">
        <v>1250.0</v>
      </c>
      <c r="E10" s="12">
        <v>1600.0</v>
      </c>
      <c r="F10" s="97" t="s">
        <v>292</v>
      </c>
      <c r="G10" s="1"/>
      <c r="H10" s="1"/>
      <c r="I10" s="1"/>
      <c r="J10" s="1"/>
      <c r="K10" s="1"/>
      <c r="L10" s="1"/>
      <c r="M10" s="1"/>
      <c r="N10" s="1"/>
      <c r="O10" s="1"/>
      <c r="P10" s="1"/>
      <c r="Q10" s="1"/>
      <c r="R10" s="1"/>
      <c r="S10" s="1"/>
      <c r="T10" s="1"/>
      <c r="U10" s="1"/>
      <c r="V10" s="1"/>
      <c r="W10" s="1"/>
      <c r="X10" s="1"/>
      <c r="Y10" s="1"/>
      <c r="Z10" s="1"/>
    </row>
    <row r="11" ht="15.75" customHeight="1">
      <c r="A11" s="1"/>
      <c r="B11" s="144"/>
      <c r="C11" s="1" t="s">
        <v>448</v>
      </c>
      <c r="D11" s="1" t="s">
        <v>449</v>
      </c>
      <c r="E11" s="1" t="s">
        <v>450</v>
      </c>
      <c r="F11" s="1" t="s">
        <v>451</v>
      </c>
      <c r="G11" s="1"/>
      <c r="H11" s="1"/>
      <c r="I11" s="1"/>
      <c r="J11" s="1"/>
      <c r="K11" s="1"/>
      <c r="L11" s="1"/>
      <c r="M11" s="1"/>
      <c r="N11" s="1"/>
      <c r="O11" s="1"/>
      <c r="P11" s="1"/>
      <c r="Q11" s="1"/>
      <c r="R11" s="1"/>
      <c r="S11" s="1"/>
      <c r="T11" s="1"/>
      <c r="U11" s="1"/>
      <c r="V11" s="1"/>
      <c r="W11" s="1"/>
      <c r="X11" s="1"/>
      <c r="Y11" s="1"/>
      <c r="Z11" s="1"/>
    </row>
    <row r="12" ht="15.75" customHeight="1">
      <c r="A12" s="1"/>
      <c r="B12" s="144"/>
      <c r="C12" s="1"/>
      <c r="D12" s="1"/>
      <c r="E12" s="1"/>
      <c r="F12" s="1"/>
      <c r="G12" s="1"/>
      <c r="H12" s="1"/>
      <c r="I12" s="1"/>
      <c r="J12" s="1"/>
      <c r="K12" s="1"/>
      <c r="L12" s="1"/>
      <c r="M12" s="1"/>
      <c r="N12" s="1"/>
      <c r="O12" s="1"/>
      <c r="P12" s="1"/>
      <c r="Q12" s="1"/>
      <c r="R12" s="1"/>
      <c r="S12" s="1"/>
      <c r="T12" s="1"/>
      <c r="U12" s="1"/>
      <c r="V12" s="1"/>
      <c r="W12" s="1"/>
      <c r="X12" s="1"/>
      <c r="Y12" s="1"/>
      <c r="Z12" s="1"/>
    </row>
    <row r="13">
      <c r="A13" s="13" t="s">
        <v>79</v>
      </c>
      <c r="B13" s="90" t="s">
        <v>409</v>
      </c>
      <c r="C13" s="129" t="s">
        <v>452</v>
      </c>
      <c r="D13" s="129" t="s">
        <v>453</v>
      </c>
      <c r="E13" s="129" t="s">
        <v>454</v>
      </c>
      <c r="F13" s="123" t="s">
        <v>455</v>
      </c>
      <c r="G13" s="1" t="s">
        <v>456</v>
      </c>
      <c r="H13" s="1"/>
      <c r="I13" s="1"/>
      <c r="J13" s="1"/>
      <c r="K13" s="1"/>
      <c r="L13" s="1"/>
      <c r="M13" s="1"/>
      <c r="N13" s="1"/>
      <c r="O13" s="1"/>
      <c r="P13" s="1"/>
      <c r="Q13" s="1"/>
      <c r="R13" s="1"/>
      <c r="S13" s="1"/>
      <c r="T13" s="1"/>
      <c r="U13" s="1"/>
      <c r="V13" s="1"/>
      <c r="W13" s="1"/>
      <c r="X13" s="1"/>
      <c r="Y13" s="1"/>
      <c r="Z13" s="1"/>
    </row>
    <row r="14" ht="15.75" customHeight="1">
      <c r="A14" s="13"/>
      <c r="B14" s="145" t="s">
        <v>457</v>
      </c>
      <c r="C14" s="97">
        <v>2500.0</v>
      </c>
      <c r="D14" s="97">
        <v>3250.0</v>
      </c>
      <c r="E14" s="97">
        <v>4000.0</v>
      </c>
      <c r="F14" s="97" t="s">
        <v>292</v>
      </c>
      <c r="G14" s="1"/>
      <c r="H14" s="1"/>
      <c r="I14" s="1"/>
      <c r="J14" s="1"/>
      <c r="K14" s="1"/>
      <c r="L14" s="1"/>
      <c r="M14" s="1"/>
      <c r="N14" s="1"/>
      <c r="O14" s="1"/>
      <c r="P14" s="1"/>
      <c r="Q14" s="1"/>
      <c r="R14" s="1"/>
      <c r="S14" s="1"/>
      <c r="T14" s="1"/>
      <c r="U14" s="1"/>
      <c r="V14" s="1"/>
      <c r="W14" s="1"/>
      <c r="X14" s="1"/>
      <c r="Y14" s="1"/>
      <c r="Z14" s="1"/>
    </row>
    <row r="15" ht="15.75" customHeight="1">
      <c r="A15" s="1"/>
      <c r="B15" s="144"/>
      <c r="C15" s="1" t="s">
        <v>458</v>
      </c>
      <c r="D15" s="1" t="s">
        <v>459</v>
      </c>
      <c r="E15" s="1" t="s">
        <v>460</v>
      </c>
      <c r="F15" s="1" t="s">
        <v>461</v>
      </c>
      <c r="G15" s="1"/>
      <c r="H15" s="1"/>
      <c r="I15" s="1"/>
      <c r="J15" s="1"/>
      <c r="K15" s="1"/>
      <c r="L15" s="1"/>
      <c r="M15" s="1"/>
      <c r="N15" s="1"/>
      <c r="O15" s="1"/>
      <c r="P15" s="1"/>
      <c r="Q15" s="1"/>
      <c r="R15" s="1"/>
      <c r="S15" s="1"/>
      <c r="T15" s="1"/>
      <c r="U15" s="1"/>
      <c r="V15" s="1"/>
      <c r="W15" s="1"/>
      <c r="X15" s="1"/>
      <c r="Y15" s="1"/>
      <c r="Z15" s="1"/>
    </row>
    <row r="16" ht="15.75" customHeight="1">
      <c r="A16" s="1"/>
      <c r="B16" s="144"/>
      <c r="C16" s="1"/>
      <c r="D16" s="1"/>
      <c r="E16" s="1"/>
      <c r="F16" s="1"/>
      <c r="G16" s="1"/>
      <c r="H16" s="1"/>
      <c r="I16" s="1"/>
      <c r="J16" s="1"/>
      <c r="K16" s="1"/>
      <c r="L16" s="1"/>
      <c r="M16" s="1"/>
      <c r="N16" s="1"/>
      <c r="O16" s="1"/>
      <c r="P16" s="1"/>
      <c r="Q16" s="1"/>
      <c r="R16" s="1"/>
      <c r="S16" s="1"/>
      <c r="T16" s="1"/>
      <c r="U16" s="1"/>
      <c r="V16" s="1"/>
      <c r="W16" s="1"/>
      <c r="X16" s="1"/>
      <c r="Y16" s="1"/>
      <c r="Z16" s="1"/>
    </row>
    <row r="17" ht="442.5" customHeight="1">
      <c r="A17" s="13" t="s">
        <v>80</v>
      </c>
      <c r="B17" s="90" t="s">
        <v>409</v>
      </c>
      <c r="C17" s="146" t="s">
        <v>462</v>
      </c>
      <c r="D17" s="147" t="s">
        <v>463</v>
      </c>
      <c r="E17" s="147" t="s">
        <v>464</v>
      </c>
      <c r="F17" s="123" t="s">
        <v>465</v>
      </c>
      <c r="G17" s="1"/>
      <c r="H17" s="1"/>
      <c r="I17" s="1"/>
      <c r="J17" s="1"/>
      <c r="K17" s="1"/>
      <c r="L17" s="1"/>
      <c r="M17" s="1"/>
      <c r="N17" s="1"/>
      <c r="O17" s="1"/>
      <c r="P17" s="1"/>
      <c r="Q17" s="1"/>
      <c r="R17" s="1"/>
      <c r="S17" s="1"/>
      <c r="T17" s="1"/>
      <c r="U17" s="1"/>
      <c r="V17" s="1"/>
      <c r="W17" s="1"/>
      <c r="X17" s="1"/>
      <c r="Y17" s="1"/>
      <c r="Z17" s="1"/>
    </row>
    <row r="18" ht="15.75" customHeight="1">
      <c r="A18" s="148"/>
      <c r="B18" s="145" t="s">
        <v>466</v>
      </c>
      <c r="C18" s="135">
        <v>11500.0</v>
      </c>
      <c r="D18" s="135">
        <v>16500.0</v>
      </c>
      <c r="E18" s="135">
        <v>21500.0</v>
      </c>
      <c r="F18" s="97" t="s">
        <v>292</v>
      </c>
      <c r="G18" s="1"/>
      <c r="H18" s="1"/>
      <c r="I18" s="1"/>
      <c r="J18" s="1"/>
      <c r="K18" s="1"/>
      <c r="L18" s="1"/>
      <c r="M18" s="1"/>
      <c r="N18" s="1"/>
      <c r="O18" s="1"/>
      <c r="P18" s="1"/>
      <c r="Q18" s="1"/>
      <c r="R18" s="1"/>
      <c r="S18" s="1"/>
      <c r="T18" s="1"/>
      <c r="U18" s="1"/>
      <c r="V18" s="1"/>
      <c r="W18" s="1"/>
      <c r="X18" s="1"/>
      <c r="Y18" s="1"/>
      <c r="Z18" s="1"/>
    </row>
    <row r="19" ht="15.75" customHeight="1">
      <c r="A19" s="136" t="s">
        <v>467</v>
      </c>
      <c r="B19" s="131"/>
      <c r="C19" s="137">
        <v>10000.0</v>
      </c>
      <c r="D19" s="137">
        <v>15000.0</v>
      </c>
      <c r="E19" s="137">
        <v>20000.0</v>
      </c>
      <c r="F19" s="97"/>
      <c r="G19" s="1"/>
      <c r="H19" s="1"/>
      <c r="I19" s="1"/>
      <c r="J19" s="1"/>
      <c r="K19" s="1"/>
      <c r="L19" s="1"/>
      <c r="M19" s="1"/>
      <c r="N19" s="1"/>
      <c r="O19" s="1"/>
      <c r="P19" s="1"/>
      <c r="Q19" s="1"/>
      <c r="R19" s="1"/>
      <c r="S19" s="1"/>
      <c r="T19" s="1"/>
      <c r="U19" s="1"/>
      <c r="V19" s="1"/>
      <c r="W19" s="1"/>
      <c r="X19" s="1"/>
      <c r="Y19" s="1"/>
      <c r="Z19" s="1"/>
    </row>
    <row r="20" ht="15.75" customHeight="1">
      <c r="A20" s="1"/>
      <c r="B20" s="144"/>
      <c r="C20" s="1" t="s">
        <v>468</v>
      </c>
      <c r="D20" s="1" t="s">
        <v>469</v>
      </c>
      <c r="E20" s="1" t="s">
        <v>470</v>
      </c>
      <c r="F20" s="1" t="s">
        <v>471</v>
      </c>
      <c r="G20" s="1"/>
      <c r="H20" s="1"/>
      <c r="I20" s="1"/>
      <c r="J20" s="1"/>
      <c r="K20" s="1"/>
      <c r="L20" s="1"/>
      <c r="M20" s="1"/>
      <c r="N20" s="1"/>
      <c r="O20" s="1"/>
      <c r="P20" s="1"/>
      <c r="Q20" s="1"/>
      <c r="R20" s="1"/>
      <c r="S20" s="1"/>
      <c r="T20" s="1"/>
      <c r="U20" s="1"/>
      <c r="V20" s="1"/>
      <c r="W20" s="1"/>
      <c r="X20" s="1"/>
      <c r="Y20" s="1"/>
      <c r="Z20" s="1"/>
    </row>
    <row r="21" ht="15.75" customHeight="1">
      <c r="A21" s="1"/>
      <c r="B21" s="144"/>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49" t="s">
        <v>472</v>
      </c>
      <c r="B22" s="150" t="s">
        <v>409</v>
      </c>
      <c r="C22" s="151"/>
      <c r="D22" s="152" t="s">
        <v>473</v>
      </c>
      <c r="E22" s="152" t="s">
        <v>474</v>
      </c>
      <c r="F22" s="151" t="s">
        <v>465</v>
      </c>
      <c r="G22" s="1"/>
      <c r="H22" s="1"/>
      <c r="I22" s="1"/>
      <c r="J22" s="1"/>
      <c r="K22" s="1"/>
      <c r="L22" s="1"/>
      <c r="M22" s="1"/>
      <c r="N22" s="1"/>
      <c r="O22" s="1"/>
      <c r="P22" s="1"/>
      <c r="Q22" s="1"/>
      <c r="R22" s="1"/>
      <c r="S22" s="1"/>
      <c r="T22" s="1"/>
      <c r="U22" s="1"/>
      <c r="V22" s="1"/>
      <c r="W22" s="1"/>
      <c r="X22" s="1"/>
      <c r="Y22" s="1"/>
      <c r="Z22" s="1"/>
    </row>
    <row r="23" ht="15.75" customHeight="1">
      <c r="A23" s="148"/>
      <c r="B23" s="153" t="s">
        <v>466</v>
      </c>
      <c r="C23" s="154"/>
      <c r="D23" s="154">
        <v>5000.0</v>
      </c>
      <c r="E23" s="154">
        <v>10000.0</v>
      </c>
      <c r="F23" s="154" t="s">
        <v>292</v>
      </c>
      <c r="G23" s="1"/>
      <c r="H23" s="1"/>
      <c r="I23" s="1"/>
      <c r="J23" s="1"/>
      <c r="K23" s="1"/>
      <c r="L23" s="1"/>
      <c r="M23" s="1"/>
      <c r="N23" s="1"/>
      <c r="O23" s="1"/>
      <c r="P23" s="1"/>
      <c r="Q23" s="1"/>
      <c r="R23" s="1"/>
      <c r="S23" s="1"/>
      <c r="T23" s="1"/>
      <c r="U23" s="1"/>
      <c r="V23" s="1"/>
      <c r="W23" s="1"/>
      <c r="X23" s="1"/>
      <c r="Y23" s="1"/>
      <c r="Z23" s="1"/>
    </row>
    <row r="24" ht="15.75" customHeight="1">
      <c r="A24" s="1"/>
      <c r="B24" s="144"/>
      <c r="C24" s="1" t="s">
        <v>475</v>
      </c>
      <c r="D24" s="1" t="s">
        <v>476</v>
      </c>
      <c r="E24" s="1" t="s">
        <v>477</v>
      </c>
      <c r="F24" s="1" t="s">
        <v>478</v>
      </c>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3" t="s">
        <v>81</v>
      </c>
      <c r="B26" s="90" t="s">
        <v>409</v>
      </c>
      <c r="C26" s="129" t="s">
        <v>479</v>
      </c>
      <c r="D26" s="129" t="s">
        <v>480</v>
      </c>
      <c r="E26" s="129" t="s">
        <v>481</v>
      </c>
      <c r="F26" s="104" t="s">
        <v>482</v>
      </c>
      <c r="G26" s="1"/>
      <c r="H26" s="1"/>
      <c r="I26" s="1"/>
      <c r="J26" s="1"/>
      <c r="K26" s="1"/>
      <c r="L26" s="1"/>
      <c r="M26" s="1"/>
      <c r="N26" s="1"/>
      <c r="O26" s="1"/>
      <c r="P26" s="1"/>
      <c r="Q26" s="1"/>
      <c r="R26" s="1"/>
      <c r="S26" s="1"/>
      <c r="T26" s="1"/>
      <c r="U26" s="1"/>
      <c r="V26" s="1"/>
      <c r="W26" s="1"/>
      <c r="X26" s="1"/>
      <c r="Y26" s="1"/>
      <c r="Z26" s="1"/>
    </row>
    <row r="27" ht="15.75" customHeight="1">
      <c r="A27" s="13"/>
      <c r="B27" s="145" t="s">
        <v>483</v>
      </c>
      <c r="C27" s="135">
        <v>6500.0</v>
      </c>
      <c r="D27" s="135">
        <v>12500.0</v>
      </c>
      <c r="E27" s="135">
        <v>20000.0</v>
      </c>
      <c r="F27" s="97" t="s">
        <v>292</v>
      </c>
      <c r="G27" s="1"/>
      <c r="H27" s="1"/>
      <c r="I27" s="1"/>
      <c r="J27" s="1"/>
      <c r="K27" s="1"/>
      <c r="L27" s="1"/>
      <c r="M27" s="1"/>
      <c r="N27" s="1"/>
      <c r="O27" s="1"/>
      <c r="P27" s="1"/>
      <c r="Q27" s="1"/>
      <c r="R27" s="1"/>
      <c r="S27" s="1"/>
      <c r="T27" s="1"/>
      <c r="U27" s="1"/>
      <c r="V27" s="1"/>
      <c r="W27" s="1"/>
      <c r="X27" s="1"/>
      <c r="Y27" s="1"/>
      <c r="Z27" s="1"/>
    </row>
    <row r="28" ht="15.75" customHeight="1">
      <c r="A28" s="1"/>
      <c r="B28" s="144"/>
      <c r="C28" s="1" t="s">
        <v>484</v>
      </c>
      <c r="D28" s="1" t="s">
        <v>485</v>
      </c>
      <c r="E28" s="1" t="s">
        <v>486</v>
      </c>
      <c r="F28" s="1" t="s">
        <v>487</v>
      </c>
      <c r="G28" s="1"/>
      <c r="H28" s="1"/>
      <c r="I28" s="1"/>
      <c r="J28" s="1"/>
      <c r="K28" s="1"/>
      <c r="L28" s="1"/>
      <c r="M28" s="1"/>
      <c r="N28" s="1"/>
      <c r="O28" s="1"/>
      <c r="P28" s="1"/>
      <c r="Q28" s="1"/>
      <c r="R28" s="1"/>
      <c r="S28" s="1"/>
      <c r="T28" s="1"/>
      <c r="U28" s="1"/>
      <c r="V28" s="1"/>
      <c r="W28" s="1"/>
      <c r="X28" s="1"/>
      <c r="Y28" s="1"/>
      <c r="Z28" s="1"/>
    </row>
    <row r="29" ht="15.75" customHeight="1">
      <c r="A29" s="1"/>
      <c r="B29" s="144"/>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3" t="s">
        <v>82</v>
      </c>
      <c r="B30" s="90" t="s">
        <v>488</v>
      </c>
      <c r="C30" s="129" t="s">
        <v>489</v>
      </c>
      <c r="D30" s="129" t="s">
        <v>490</v>
      </c>
      <c r="E30" s="129" t="s">
        <v>491</v>
      </c>
      <c r="F30" s="104" t="s">
        <v>492</v>
      </c>
      <c r="G30" s="1"/>
      <c r="H30" s="1"/>
      <c r="I30" s="1"/>
      <c r="J30" s="1"/>
      <c r="K30" s="1"/>
      <c r="L30" s="1"/>
      <c r="M30" s="1"/>
      <c r="N30" s="1"/>
      <c r="O30" s="1"/>
      <c r="P30" s="1"/>
      <c r="Q30" s="1"/>
      <c r="R30" s="1"/>
      <c r="S30" s="1"/>
      <c r="T30" s="1"/>
      <c r="U30" s="1"/>
      <c r="V30" s="1"/>
      <c r="W30" s="1"/>
      <c r="X30" s="1"/>
      <c r="Y30" s="1"/>
      <c r="Z30" s="1"/>
    </row>
    <row r="31" ht="15.75" customHeight="1">
      <c r="A31" s="13"/>
      <c r="B31" s="155" t="s">
        <v>493</v>
      </c>
      <c r="C31" s="156" t="s">
        <v>494</v>
      </c>
      <c r="D31" s="156" t="s">
        <v>495</v>
      </c>
      <c r="E31" s="156" t="s">
        <v>496</v>
      </c>
      <c r="F31" s="97" t="s">
        <v>292</v>
      </c>
      <c r="G31" s="1"/>
      <c r="H31" s="1"/>
      <c r="I31" s="1"/>
      <c r="J31" s="1"/>
      <c r="K31" s="1"/>
      <c r="L31" s="1"/>
      <c r="M31" s="1"/>
      <c r="N31" s="1"/>
      <c r="O31" s="1"/>
      <c r="P31" s="1"/>
      <c r="Q31" s="1"/>
      <c r="R31" s="1"/>
      <c r="S31" s="1"/>
      <c r="T31" s="1"/>
      <c r="U31" s="1"/>
      <c r="V31" s="1"/>
      <c r="W31" s="1"/>
      <c r="X31" s="1"/>
      <c r="Y31" s="1"/>
      <c r="Z31" s="1"/>
    </row>
    <row r="32" ht="15.75" customHeight="1">
      <c r="A32" s="1"/>
      <c r="B32" s="144"/>
      <c r="C32" s="1" t="s">
        <v>497</v>
      </c>
      <c r="D32" s="1" t="s">
        <v>498</v>
      </c>
      <c r="E32" s="1" t="s">
        <v>499</v>
      </c>
      <c r="F32" s="1" t="s">
        <v>500</v>
      </c>
      <c r="G32" s="1"/>
      <c r="H32" s="1"/>
      <c r="I32" s="1"/>
      <c r="J32" s="1"/>
      <c r="K32" s="1"/>
      <c r="L32" s="1"/>
      <c r="M32" s="1"/>
      <c r="N32" s="1"/>
      <c r="O32" s="1"/>
      <c r="P32" s="1"/>
      <c r="Q32" s="1"/>
      <c r="R32" s="1"/>
      <c r="S32" s="1"/>
      <c r="T32" s="1"/>
      <c r="U32" s="1"/>
      <c r="V32" s="1"/>
      <c r="W32" s="1"/>
      <c r="X32" s="1"/>
      <c r="Y32" s="1"/>
      <c r="Z32" s="1"/>
    </row>
    <row r="33" ht="15.75" customHeight="1">
      <c r="A33" s="1"/>
      <c r="B33" s="144"/>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3" t="s">
        <v>83</v>
      </c>
      <c r="B34" s="90" t="s">
        <v>108</v>
      </c>
      <c r="C34" s="123" t="s">
        <v>501</v>
      </c>
      <c r="D34" s="123" t="s">
        <v>502</v>
      </c>
      <c r="E34" s="94"/>
      <c r="F34" s="94"/>
      <c r="G34" s="1"/>
      <c r="H34" s="1"/>
      <c r="I34" s="1"/>
      <c r="J34" s="1"/>
      <c r="K34" s="1"/>
      <c r="L34" s="1"/>
      <c r="M34" s="1"/>
      <c r="N34" s="1"/>
      <c r="O34" s="1"/>
      <c r="P34" s="1"/>
      <c r="Q34" s="1"/>
      <c r="R34" s="1"/>
      <c r="S34" s="1"/>
      <c r="T34" s="1"/>
      <c r="U34" s="1"/>
      <c r="V34" s="1"/>
      <c r="W34" s="1"/>
      <c r="X34" s="1"/>
      <c r="Y34" s="1"/>
      <c r="Z34" s="1"/>
    </row>
    <row r="35" ht="15.75" customHeight="1">
      <c r="A35" s="13"/>
      <c r="B35" s="96"/>
      <c r="C35" s="125" t="s">
        <v>503</v>
      </c>
      <c r="D35" s="125" t="s">
        <v>504</v>
      </c>
      <c r="E35" s="94"/>
      <c r="F35" s="94"/>
      <c r="G35" s="1"/>
      <c r="H35" s="1"/>
      <c r="I35" s="1"/>
      <c r="J35" s="1"/>
      <c r="K35" s="1"/>
      <c r="L35" s="1"/>
      <c r="M35" s="1"/>
      <c r="N35" s="1"/>
      <c r="O35" s="1"/>
      <c r="P35" s="1"/>
      <c r="Q35" s="1"/>
      <c r="R35" s="1"/>
      <c r="S35" s="1"/>
      <c r="T35" s="1"/>
      <c r="U35" s="1"/>
      <c r="V35" s="1"/>
      <c r="W35" s="1"/>
      <c r="X35" s="1"/>
      <c r="Y35" s="1"/>
      <c r="Z35" s="1"/>
    </row>
    <row r="36" ht="15.75" customHeight="1">
      <c r="A36" s="1"/>
      <c r="B36" s="1"/>
      <c r="C36" s="1" t="s">
        <v>505</v>
      </c>
      <c r="D36" s="1" t="s">
        <v>506</v>
      </c>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3" t="s">
        <v>84</v>
      </c>
      <c r="B38" s="90" t="s">
        <v>108</v>
      </c>
      <c r="C38" s="3" t="s">
        <v>507</v>
      </c>
      <c r="D38" s="3" t="s">
        <v>508</v>
      </c>
      <c r="E38" s="3" t="s">
        <v>509</v>
      </c>
      <c r="F38" s="127" t="s">
        <v>510</v>
      </c>
      <c r="G38" s="1"/>
      <c r="H38" s="1"/>
      <c r="I38" s="1"/>
      <c r="J38" s="1"/>
      <c r="K38" s="1"/>
      <c r="L38" s="1"/>
      <c r="M38" s="1"/>
      <c r="N38" s="1"/>
      <c r="O38" s="1"/>
      <c r="P38" s="1"/>
      <c r="Q38" s="1"/>
      <c r="R38" s="1"/>
      <c r="S38" s="1"/>
      <c r="T38" s="1"/>
      <c r="U38" s="1"/>
      <c r="V38" s="1"/>
      <c r="W38" s="1"/>
      <c r="X38" s="1"/>
      <c r="Y38" s="1"/>
      <c r="Z38" s="1"/>
    </row>
    <row r="39" ht="15.75" customHeight="1">
      <c r="A39" s="13"/>
      <c r="B39" s="96"/>
      <c r="C39" s="12">
        <f>200/0.4</f>
        <v>500</v>
      </c>
      <c r="D39" s="12">
        <f>250/0.4</f>
        <v>625</v>
      </c>
      <c r="E39" s="12">
        <v>750.0</v>
      </c>
      <c r="F39" s="97" t="s">
        <v>292</v>
      </c>
      <c r="G39" s="1"/>
      <c r="H39" s="1"/>
      <c r="I39" s="1"/>
      <c r="J39" s="1"/>
      <c r="K39" s="1"/>
      <c r="L39" s="1"/>
      <c r="M39" s="1"/>
      <c r="N39" s="1"/>
      <c r="O39" s="1"/>
      <c r="P39" s="1"/>
      <c r="Q39" s="1"/>
      <c r="R39" s="1"/>
      <c r="S39" s="1"/>
      <c r="T39" s="1"/>
      <c r="U39" s="1"/>
      <c r="V39" s="1"/>
      <c r="W39" s="1"/>
      <c r="X39" s="1"/>
      <c r="Y39" s="1"/>
      <c r="Z39" s="1"/>
    </row>
    <row r="40" ht="15.75" customHeight="1">
      <c r="A40" s="1"/>
      <c r="B40" s="1"/>
      <c r="C40" s="1" t="s">
        <v>511</v>
      </c>
      <c r="D40" s="1" t="s">
        <v>512</v>
      </c>
      <c r="E40" s="1" t="s">
        <v>513</v>
      </c>
      <c r="F40" s="1" t="s">
        <v>514</v>
      </c>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3" t="s">
        <v>85</v>
      </c>
      <c r="B42" s="90" t="s">
        <v>108</v>
      </c>
      <c r="C42" s="3" t="s">
        <v>515</v>
      </c>
      <c r="D42" s="94"/>
      <c r="E42" s="94"/>
      <c r="F42" s="94"/>
      <c r="G42" s="1"/>
      <c r="H42" s="1"/>
      <c r="I42" s="1"/>
      <c r="J42" s="1"/>
      <c r="K42" s="1"/>
      <c r="L42" s="1"/>
      <c r="M42" s="1"/>
      <c r="N42" s="1"/>
      <c r="O42" s="1"/>
      <c r="P42" s="1"/>
      <c r="Q42" s="1"/>
      <c r="R42" s="1"/>
      <c r="S42" s="1"/>
      <c r="T42" s="1"/>
      <c r="U42" s="1"/>
      <c r="V42" s="1"/>
      <c r="W42" s="1"/>
      <c r="X42" s="1"/>
      <c r="Y42" s="1"/>
      <c r="Z42" s="1"/>
    </row>
    <row r="43" ht="15.75" customHeight="1">
      <c r="A43" s="13"/>
      <c r="B43" s="96"/>
      <c r="C43" s="97" t="s">
        <v>292</v>
      </c>
      <c r="D43" s="94"/>
      <c r="E43" s="94"/>
      <c r="F43" s="94"/>
      <c r="G43" s="1"/>
      <c r="H43" s="1"/>
      <c r="I43" s="1"/>
      <c r="J43" s="1"/>
      <c r="K43" s="1"/>
      <c r="L43" s="1"/>
      <c r="M43" s="1"/>
      <c r="N43" s="1"/>
      <c r="O43" s="1"/>
      <c r="P43" s="1"/>
      <c r="Q43" s="1"/>
      <c r="R43" s="1"/>
      <c r="S43" s="1"/>
      <c r="T43" s="1"/>
      <c r="U43" s="1"/>
      <c r="V43" s="1"/>
      <c r="W43" s="1"/>
      <c r="X43" s="1"/>
      <c r="Y43" s="1"/>
      <c r="Z43" s="1"/>
    </row>
    <row r="44" ht="15.75" customHeight="1">
      <c r="A44" s="1"/>
      <c r="B44" s="1"/>
      <c r="C44" s="1" t="s">
        <v>516</v>
      </c>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22" t="s">
        <v>87</v>
      </c>
      <c r="B46" s="86"/>
      <c r="C46" s="86"/>
      <c r="D46" s="86"/>
      <c r="E46" s="86"/>
      <c r="F46" s="86"/>
      <c r="G46" s="1"/>
      <c r="H46" s="1"/>
      <c r="I46" s="1"/>
      <c r="J46" s="1"/>
      <c r="K46" s="1"/>
      <c r="L46" s="1"/>
      <c r="M46" s="1"/>
      <c r="N46" s="1"/>
      <c r="O46" s="1"/>
      <c r="P46" s="1"/>
      <c r="Q46" s="1"/>
      <c r="R46" s="1"/>
      <c r="S46" s="1"/>
      <c r="T46" s="1"/>
      <c r="U46" s="1"/>
      <c r="V46" s="1"/>
      <c r="W46" s="1"/>
      <c r="X46" s="1"/>
      <c r="Y46" s="1"/>
      <c r="Z46" s="1"/>
    </row>
    <row r="47" ht="15.75" customHeight="1">
      <c r="A47" s="13" t="s">
        <v>88</v>
      </c>
      <c r="B47" s="94"/>
      <c r="C47" s="129" t="s">
        <v>517</v>
      </c>
      <c r="D47" s="129" t="s">
        <v>518</v>
      </c>
      <c r="E47" s="129" t="s">
        <v>519</v>
      </c>
      <c r="F47" s="157" t="s">
        <v>520</v>
      </c>
      <c r="G47" s="1"/>
      <c r="H47" s="1"/>
      <c r="I47" s="1"/>
      <c r="J47" s="1"/>
      <c r="K47" s="1"/>
      <c r="L47" s="1"/>
      <c r="M47" s="1"/>
      <c r="N47" s="1"/>
      <c r="O47" s="1"/>
      <c r="P47" s="1"/>
      <c r="Q47" s="1"/>
      <c r="R47" s="1"/>
      <c r="S47" s="1"/>
      <c r="T47" s="1"/>
      <c r="U47" s="1"/>
      <c r="V47" s="1"/>
      <c r="W47" s="1"/>
      <c r="X47" s="1"/>
      <c r="Y47" s="1"/>
      <c r="Z47" s="1"/>
    </row>
    <row r="48" ht="15.75" customHeight="1">
      <c r="A48" s="158" t="s">
        <v>521</v>
      </c>
      <c r="B48" s="94"/>
      <c r="C48" s="135">
        <v>12000.0</v>
      </c>
      <c r="D48" s="135">
        <v>15000.0</v>
      </c>
      <c r="E48" s="135">
        <v>18000.0</v>
      </c>
      <c r="F48" s="97" t="s">
        <v>292</v>
      </c>
      <c r="G48" s="1"/>
      <c r="H48" s="1"/>
      <c r="I48" s="1"/>
      <c r="J48" s="1"/>
      <c r="K48" s="1"/>
      <c r="L48" s="1"/>
      <c r="M48" s="1"/>
      <c r="N48" s="1"/>
      <c r="O48" s="1"/>
      <c r="P48" s="1"/>
      <c r="Q48" s="1"/>
      <c r="R48" s="1"/>
      <c r="S48" s="1"/>
      <c r="T48" s="1"/>
      <c r="U48" s="1"/>
      <c r="V48" s="1"/>
      <c r="W48" s="1"/>
      <c r="X48" s="1"/>
      <c r="Y48" s="1"/>
      <c r="Z48" s="1"/>
    </row>
    <row r="49" ht="15.75" customHeight="1">
      <c r="A49" s="1"/>
      <c r="B49" s="1"/>
      <c r="C49" s="1" t="s">
        <v>522</v>
      </c>
      <c r="D49" s="1" t="s">
        <v>523</v>
      </c>
      <c r="E49" s="1" t="s">
        <v>524</v>
      </c>
      <c r="F49" s="1" t="s">
        <v>525</v>
      </c>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59" t="s">
        <v>526</v>
      </c>
      <c r="B51" s="94"/>
      <c r="C51" s="129" t="s">
        <v>527</v>
      </c>
      <c r="D51" s="129" t="s">
        <v>528</v>
      </c>
      <c r="E51" s="129" t="s">
        <v>529</v>
      </c>
      <c r="F51" s="157" t="s">
        <v>530</v>
      </c>
      <c r="G51" s="1"/>
      <c r="H51" s="1"/>
      <c r="I51" s="1"/>
      <c r="J51" s="1"/>
      <c r="K51" s="1"/>
      <c r="L51" s="1"/>
      <c r="M51" s="1"/>
      <c r="N51" s="1"/>
      <c r="O51" s="1"/>
      <c r="P51" s="1"/>
      <c r="Q51" s="1"/>
      <c r="R51" s="1"/>
      <c r="S51" s="1"/>
      <c r="T51" s="1"/>
      <c r="U51" s="1"/>
      <c r="V51" s="1"/>
      <c r="W51" s="1"/>
      <c r="X51" s="1"/>
      <c r="Y51" s="1"/>
      <c r="Z51" s="1"/>
    </row>
    <row r="52" ht="15.75" customHeight="1">
      <c r="A52" s="158" t="s">
        <v>521</v>
      </c>
      <c r="B52" s="94"/>
      <c r="C52" s="135">
        <v>7500.0</v>
      </c>
      <c r="D52" s="135">
        <v>9500.0</v>
      </c>
      <c r="E52" s="135">
        <v>11500.0</v>
      </c>
      <c r="F52" s="97" t="s">
        <v>292</v>
      </c>
      <c r="G52" s="1"/>
      <c r="H52" s="1"/>
      <c r="I52" s="1"/>
      <c r="J52" s="1"/>
      <c r="K52" s="1"/>
      <c r="L52" s="1"/>
      <c r="M52" s="1"/>
      <c r="N52" s="1"/>
      <c r="O52" s="1"/>
      <c r="P52" s="1"/>
      <c r="Q52" s="1"/>
      <c r="R52" s="1"/>
      <c r="S52" s="1"/>
      <c r="T52" s="1"/>
      <c r="U52" s="1"/>
      <c r="V52" s="1"/>
      <c r="W52" s="1"/>
      <c r="X52" s="1"/>
      <c r="Y52" s="1"/>
      <c r="Z52" s="1"/>
    </row>
    <row r="53" ht="15.75" customHeight="1">
      <c r="A53" s="1"/>
      <c r="B53" s="1"/>
      <c r="C53" s="1" t="s">
        <v>531</v>
      </c>
      <c r="D53" s="1" t="s">
        <v>532</v>
      </c>
      <c r="E53" s="1" t="s">
        <v>533</v>
      </c>
      <c r="F53" s="1" t="s">
        <v>534</v>
      </c>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3" t="s">
        <v>90</v>
      </c>
      <c r="B55" s="94"/>
      <c r="C55" s="104" t="s">
        <v>535</v>
      </c>
      <c r="D55" s="126" t="s">
        <v>536</v>
      </c>
      <c r="E55" s="94"/>
      <c r="F55" s="94"/>
      <c r="G55" s="1"/>
      <c r="H55" s="1"/>
      <c r="I55" s="1"/>
      <c r="J55" s="1"/>
      <c r="K55" s="1"/>
      <c r="L55" s="1"/>
      <c r="M55" s="1"/>
      <c r="N55" s="1"/>
      <c r="O55" s="1"/>
      <c r="P55" s="1"/>
      <c r="Q55" s="1"/>
      <c r="R55" s="1"/>
      <c r="S55" s="1"/>
      <c r="T55" s="1"/>
      <c r="U55" s="1"/>
      <c r="V55" s="1"/>
      <c r="W55" s="1"/>
      <c r="X55" s="1"/>
      <c r="Y55" s="1"/>
      <c r="Z55" s="1"/>
    </row>
    <row r="56" ht="15.75" customHeight="1">
      <c r="A56" s="158" t="s">
        <v>537</v>
      </c>
      <c r="B56" s="94"/>
      <c r="C56" s="97">
        <v>2000.0</v>
      </c>
      <c r="D56" s="97">
        <v>3000.0</v>
      </c>
      <c r="E56" s="94"/>
      <c r="F56" s="94"/>
      <c r="G56" s="1"/>
      <c r="H56" s="1"/>
      <c r="I56" s="1"/>
      <c r="J56" s="1"/>
      <c r="K56" s="1"/>
      <c r="L56" s="1"/>
      <c r="M56" s="1"/>
      <c r="N56" s="1"/>
      <c r="O56" s="1"/>
      <c r="P56" s="1"/>
      <c r="Q56" s="1"/>
      <c r="R56" s="1"/>
      <c r="S56" s="1"/>
      <c r="T56" s="1"/>
      <c r="U56" s="1"/>
      <c r="V56" s="1"/>
      <c r="W56" s="1"/>
      <c r="X56" s="1"/>
      <c r="Y56" s="1"/>
      <c r="Z56" s="1"/>
    </row>
    <row r="57" ht="15.75" customHeight="1">
      <c r="A57" s="1"/>
      <c r="B57" s="1"/>
      <c r="C57" s="1" t="s">
        <v>538</v>
      </c>
      <c r="D57" s="1" t="s">
        <v>539</v>
      </c>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3" t="s">
        <v>91</v>
      </c>
      <c r="B59" s="94"/>
      <c r="C59" s="123" t="s">
        <v>540</v>
      </c>
      <c r="D59" s="94"/>
      <c r="E59" s="94"/>
      <c r="F59" s="127" t="s">
        <v>541</v>
      </c>
      <c r="G59" s="1"/>
      <c r="H59" s="1"/>
      <c r="I59" s="1"/>
      <c r="J59" s="1"/>
      <c r="K59" s="1"/>
      <c r="L59" s="1"/>
      <c r="M59" s="1"/>
      <c r="N59" s="1"/>
      <c r="O59" s="1"/>
      <c r="P59" s="1"/>
      <c r="Q59" s="1"/>
      <c r="R59" s="1"/>
      <c r="S59" s="1"/>
      <c r="T59" s="1"/>
      <c r="U59" s="1"/>
      <c r="V59" s="1"/>
      <c r="W59" s="1"/>
      <c r="X59" s="1"/>
      <c r="Y59" s="1"/>
      <c r="Z59" s="1"/>
    </row>
    <row r="60" ht="15.75" customHeight="1">
      <c r="A60" s="158"/>
      <c r="B60" s="94"/>
      <c r="C60" s="97">
        <v>3000.0</v>
      </c>
      <c r="D60" s="94"/>
      <c r="E60" s="94"/>
      <c r="F60" s="97" t="s">
        <v>292</v>
      </c>
      <c r="G60" s="1"/>
      <c r="H60" s="1"/>
      <c r="I60" s="1"/>
      <c r="J60" s="1"/>
      <c r="K60" s="1"/>
      <c r="L60" s="1"/>
      <c r="M60" s="1"/>
      <c r="N60" s="1"/>
      <c r="O60" s="1"/>
      <c r="P60" s="1"/>
      <c r="Q60" s="1"/>
      <c r="R60" s="1"/>
      <c r="S60" s="1"/>
      <c r="T60" s="1"/>
      <c r="U60" s="1"/>
      <c r="V60" s="1"/>
      <c r="W60" s="1"/>
      <c r="X60" s="1"/>
      <c r="Y60" s="1"/>
      <c r="Z60" s="1"/>
    </row>
    <row r="61" ht="15.75" customHeight="1">
      <c r="A61" s="1"/>
      <c r="B61" s="1"/>
      <c r="C61" s="1" t="s">
        <v>542</v>
      </c>
      <c r="D61" s="1"/>
      <c r="E61" s="1"/>
      <c r="F61" s="1" t="s">
        <v>543</v>
      </c>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94"/>
      <c r="C63" s="129" t="s">
        <v>544</v>
      </c>
      <c r="D63" s="94"/>
      <c r="E63" s="94"/>
      <c r="F63" s="127" t="s">
        <v>545</v>
      </c>
      <c r="G63" s="1"/>
      <c r="H63" s="1"/>
      <c r="I63" s="1"/>
      <c r="J63" s="1"/>
      <c r="K63" s="1"/>
      <c r="L63" s="1"/>
      <c r="M63" s="1"/>
      <c r="N63" s="1"/>
      <c r="O63" s="1"/>
      <c r="P63" s="1"/>
      <c r="Q63" s="1"/>
      <c r="R63" s="1"/>
      <c r="S63" s="1"/>
      <c r="T63" s="1"/>
      <c r="U63" s="1"/>
      <c r="V63" s="1"/>
      <c r="W63" s="1"/>
      <c r="X63" s="1"/>
      <c r="Y63" s="1"/>
      <c r="Z63" s="1"/>
    </row>
    <row r="64" ht="15.75" customHeight="1">
      <c r="A64" s="158" t="s">
        <v>546</v>
      </c>
      <c r="B64" s="94"/>
      <c r="C64" s="97">
        <v>15000.0</v>
      </c>
      <c r="D64" s="94"/>
      <c r="E64" s="94"/>
      <c r="F64" s="97" t="s">
        <v>60</v>
      </c>
      <c r="G64" s="1"/>
      <c r="H64" s="1"/>
      <c r="I64" s="1"/>
      <c r="J64" s="1"/>
      <c r="K64" s="1"/>
      <c r="L64" s="1"/>
      <c r="M64" s="1"/>
      <c r="N64" s="1"/>
      <c r="O64" s="1"/>
      <c r="P64" s="1"/>
      <c r="Q64" s="1"/>
      <c r="R64" s="1"/>
      <c r="S64" s="1"/>
      <c r="T64" s="1"/>
      <c r="U64" s="1"/>
      <c r="V64" s="1"/>
      <c r="W64" s="1"/>
      <c r="X64" s="1"/>
      <c r="Y64" s="1"/>
      <c r="Z64" s="1"/>
    </row>
    <row r="65" ht="15.75" customHeight="1">
      <c r="A65" s="1"/>
      <c r="B65" s="1"/>
      <c r="C65" s="1" t="s">
        <v>547</v>
      </c>
      <c r="D65" s="1"/>
      <c r="E65" s="1"/>
      <c r="F65" s="1" t="s">
        <v>548</v>
      </c>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04" t="s">
        <v>549</v>
      </c>
      <c r="B67" s="94"/>
      <c r="C67" s="123" t="s">
        <v>550</v>
      </c>
      <c r="D67" s="94"/>
      <c r="E67" s="94"/>
      <c r="F67" s="94"/>
      <c r="G67" s="1"/>
      <c r="H67" s="1"/>
      <c r="I67" s="1"/>
      <c r="J67" s="1"/>
      <c r="K67" s="1"/>
      <c r="L67" s="1"/>
      <c r="M67" s="1"/>
      <c r="N67" s="1"/>
      <c r="O67" s="1"/>
      <c r="P67" s="1"/>
      <c r="Q67" s="1"/>
      <c r="R67" s="1"/>
      <c r="S67" s="1"/>
      <c r="T67" s="1"/>
      <c r="U67" s="1"/>
      <c r="V67" s="1"/>
      <c r="W67" s="1"/>
      <c r="X67" s="1"/>
      <c r="Y67" s="1"/>
      <c r="Z67" s="1"/>
    </row>
    <row r="68" ht="15.75" customHeight="1">
      <c r="A68" s="158" t="s">
        <v>546</v>
      </c>
      <c r="B68" s="94"/>
      <c r="C68" s="97">
        <v>5000.0</v>
      </c>
      <c r="D68" s="94"/>
      <c r="E68" s="94"/>
      <c r="F68" s="94"/>
      <c r="G68" s="1"/>
      <c r="H68" s="1"/>
      <c r="I68" s="1"/>
      <c r="J68" s="1"/>
      <c r="K68" s="1"/>
      <c r="L68" s="1"/>
      <c r="M68" s="1"/>
      <c r="N68" s="1"/>
      <c r="O68" s="1"/>
      <c r="P68" s="1"/>
      <c r="Q68" s="1"/>
      <c r="R68" s="1"/>
      <c r="S68" s="1"/>
      <c r="T68" s="1"/>
      <c r="U68" s="1"/>
      <c r="V68" s="1"/>
      <c r="W68" s="1"/>
      <c r="X68" s="1"/>
      <c r="Y68" s="1"/>
      <c r="Z68" s="1"/>
    </row>
    <row r="69" ht="15.75" customHeight="1">
      <c r="A69" s="1"/>
      <c r="B69" s="1"/>
      <c r="C69" s="1" t="s">
        <v>551</v>
      </c>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3" t="s">
        <v>94</v>
      </c>
      <c r="B71" s="94"/>
      <c r="C71" s="123" t="s">
        <v>552</v>
      </c>
      <c r="D71" s="94"/>
      <c r="E71" s="94"/>
      <c r="F71" s="94"/>
      <c r="G71" s="1"/>
      <c r="H71" s="1"/>
      <c r="I71" s="1"/>
      <c r="J71" s="1"/>
      <c r="K71" s="1"/>
      <c r="L71" s="1"/>
      <c r="M71" s="1"/>
      <c r="N71" s="1"/>
      <c r="O71" s="1"/>
      <c r="P71" s="1"/>
      <c r="Q71" s="1"/>
      <c r="R71" s="1"/>
      <c r="S71" s="1"/>
      <c r="T71" s="1"/>
      <c r="U71" s="1"/>
      <c r="V71" s="1"/>
      <c r="W71" s="1"/>
      <c r="X71" s="1"/>
      <c r="Y71" s="1"/>
      <c r="Z71" s="1"/>
    </row>
    <row r="72" ht="15.75" customHeight="1">
      <c r="A72" s="158" t="s">
        <v>553</v>
      </c>
      <c r="B72" s="94"/>
      <c r="C72" s="97">
        <v>2000.0</v>
      </c>
      <c r="D72" s="94"/>
      <c r="E72" s="94"/>
      <c r="F72" s="94"/>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3" t="s">
        <v>554</v>
      </c>
      <c r="B75" s="94"/>
      <c r="C75" s="126" t="s">
        <v>555</v>
      </c>
      <c r="D75" s="94"/>
      <c r="E75" s="94"/>
      <c r="F75" s="94"/>
      <c r="G75" s="1"/>
      <c r="H75" s="1"/>
      <c r="I75" s="1"/>
      <c r="J75" s="1"/>
      <c r="K75" s="1"/>
      <c r="L75" s="1"/>
      <c r="M75" s="1"/>
      <c r="N75" s="1"/>
      <c r="O75" s="1"/>
      <c r="P75" s="1"/>
      <c r="Q75" s="1"/>
      <c r="R75" s="1"/>
      <c r="S75" s="1"/>
      <c r="T75" s="1"/>
      <c r="U75" s="1"/>
      <c r="V75" s="1"/>
      <c r="W75" s="1"/>
      <c r="X75" s="1"/>
      <c r="Y75" s="1"/>
      <c r="Z75" s="1"/>
    </row>
    <row r="76" ht="15.75" customHeight="1">
      <c r="A76" s="158"/>
      <c r="B76" s="94"/>
      <c r="C76" s="135">
        <v>4000.0</v>
      </c>
      <c r="D76" s="94"/>
      <c r="E76" s="94"/>
      <c r="F76" s="94"/>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04" t="s">
        <v>556</v>
      </c>
      <c r="B79" s="94"/>
      <c r="C79" s="126" t="s">
        <v>557</v>
      </c>
      <c r="D79" s="94"/>
      <c r="E79" s="94"/>
      <c r="F79" s="94"/>
      <c r="G79" s="1"/>
      <c r="H79" s="1"/>
      <c r="I79" s="1"/>
      <c r="J79" s="1"/>
      <c r="K79" s="1"/>
      <c r="L79" s="1"/>
      <c r="M79" s="1"/>
      <c r="N79" s="1"/>
      <c r="O79" s="1"/>
      <c r="P79" s="1"/>
      <c r="Q79" s="1"/>
      <c r="R79" s="1"/>
      <c r="S79" s="1"/>
      <c r="T79" s="1"/>
      <c r="U79" s="1"/>
      <c r="V79" s="1"/>
      <c r="W79" s="1"/>
      <c r="X79" s="1"/>
      <c r="Y79" s="1"/>
      <c r="Z79" s="1"/>
    </row>
    <row r="80" ht="15.75" customHeight="1">
      <c r="A80" s="158"/>
      <c r="B80" s="94"/>
      <c r="C80" s="97">
        <v>4000.0</v>
      </c>
      <c r="D80" s="94"/>
      <c r="E80" s="94"/>
      <c r="F80" s="94"/>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3" t="s">
        <v>558</v>
      </c>
      <c r="B83" s="94"/>
      <c r="C83" s="126" t="s">
        <v>559</v>
      </c>
      <c r="D83" s="126" t="s">
        <v>560</v>
      </c>
      <c r="E83" s="126" t="s">
        <v>561</v>
      </c>
      <c r="F83" s="94"/>
      <c r="G83" s="1"/>
      <c r="H83" s="1"/>
      <c r="I83" s="1"/>
      <c r="J83" s="1"/>
      <c r="K83" s="1"/>
      <c r="L83" s="1"/>
      <c r="M83" s="1"/>
      <c r="N83" s="1"/>
      <c r="O83" s="1"/>
      <c r="P83" s="1"/>
      <c r="Q83" s="1"/>
      <c r="R83" s="1"/>
      <c r="S83" s="1"/>
      <c r="T83" s="1"/>
      <c r="U83" s="1"/>
      <c r="V83" s="1"/>
      <c r="W83" s="1"/>
      <c r="X83" s="1"/>
      <c r="Y83" s="1"/>
      <c r="Z83" s="1"/>
    </row>
    <row r="84" ht="15.75" customHeight="1">
      <c r="A84" s="158"/>
      <c r="B84" s="94"/>
      <c r="C84" s="135">
        <v>7000.0</v>
      </c>
      <c r="D84" s="135">
        <v>9000.0</v>
      </c>
      <c r="E84" s="135">
        <v>11000.0</v>
      </c>
      <c r="F84" s="94"/>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52.75" customHeight="1">
      <c r="A86" s="159" t="s">
        <v>562</v>
      </c>
      <c r="B86" s="55"/>
      <c r="C86" s="160" t="s">
        <v>563</v>
      </c>
      <c r="D86" s="1"/>
      <c r="E86" s="1"/>
      <c r="F86" s="1"/>
      <c r="G86" s="1"/>
      <c r="H86" s="1"/>
      <c r="I86" s="1"/>
      <c r="J86" s="1"/>
      <c r="K86" s="1"/>
      <c r="L86" s="1"/>
      <c r="M86" s="1"/>
      <c r="N86" s="1"/>
      <c r="O86" s="1"/>
      <c r="P86" s="1"/>
      <c r="Q86" s="1"/>
      <c r="R86" s="1"/>
      <c r="S86" s="1"/>
      <c r="T86" s="1"/>
      <c r="U86" s="1"/>
      <c r="V86" s="1"/>
      <c r="W86" s="1"/>
      <c r="X86" s="1"/>
      <c r="Y86" s="1"/>
      <c r="Z86" s="1"/>
    </row>
    <row r="87" ht="15.75" customHeight="1">
      <c r="A87" s="161"/>
      <c r="B87" s="55"/>
      <c r="C87" s="162">
        <v>15000.0</v>
      </c>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32"/>
      <c r="C88" s="163"/>
      <c r="D88" s="30"/>
      <c r="E88" s="1"/>
      <c r="F88" s="1"/>
      <c r="G88" s="1"/>
      <c r="H88" s="1"/>
      <c r="I88" s="1"/>
      <c r="J88" s="1"/>
      <c r="K88" s="1"/>
      <c r="L88" s="1"/>
      <c r="M88" s="1"/>
      <c r="N88" s="1"/>
      <c r="O88" s="1"/>
      <c r="P88" s="1"/>
      <c r="Q88" s="1"/>
      <c r="R88" s="1"/>
      <c r="S88" s="1"/>
      <c r="T88" s="1"/>
      <c r="U88" s="1"/>
      <c r="V88" s="1"/>
      <c r="W88" s="1"/>
      <c r="X88" s="1"/>
      <c r="Y88" s="1"/>
      <c r="Z88" s="1"/>
    </row>
    <row r="89" ht="15.75" customHeight="1">
      <c r="A89" s="1"/>
      <c r="B89" s="32"/>
      <c r="C89" s="164"/>
      <c r="D89" s="30"/>
      <c r="E89" s="1"/>
      <c r="F89" s="1"/>
      <c r="G89" s="1"/>
      <c r="H89" s="1"/>
      <c r="I89" s="1"/>
      <c r="J89" s="1"/>
      <c r="K89" s="1"/>
      <c r="L89" s="1"/>
      <c r="M89" s="1"/>
      <c r="N89" s="1"/>
      <c r="O89" s="1"/>
      <c r="P89" s="1"/>
      <c r="Q89" s="1"/>
      <c r="R89" s="1"/>
      <c r="S89" s="1"/>
      <c r="T89" s="1"/>
      <c r="U89" s="1"/>
      <c r="V89" s="1"/>
      <c r="W89" s="1"/>
      <c r="X89" s="1"/>
      <c r="Y89" s="1"/>
      <c r="Z89" s="1"/>
    </row>
    <row r="90" ht="15.75" customHeight="1">
      <c r="A90" s="1"/>
      <c r="B90" s="32"/>
      <c r="C90" s="165"/>
      <c r="D90" s="30"/>
      <c r="E90" s="1"/>
      <c r="F90" s="1"/>
      <c r="G90" s="1"/>
      <c r="H90" s="1"/>
      <c r="I90" s="1"/>
      <c r="J90" s="1"/>
      <c r="K90" s="1"/>
      <c r="L90" s="1"/>
      <c r="M90" s="1"/>
      <c r="N90" s="1"/>
      <c r="O90" s="1"/>
      <c r="P90" s="1"/>
      <c r="Q90" s="1"/>
      <c r="R90" s="1"/>
      <c r="S90" s="1"/>
      <c r="T90" s="1"/>
      <c r="U90" s="1"/>
      <c r="V90" s="1"/>
      <c r="W90" s="1"/>
      <c r="X90" s="1"/>
      <c r="Y90" s="1"/>
      <c r="Z90" s="1"/>
    </row>
    <row r="91" ht="15.75" customHeight="1">
      <c r="A91" s="1"/>
      <c r="B91" s="32"/>
      <c r="C91" s="165"/>
      <c r="D91" s="30"/>
      <c r="E91" s="1"/>
      <c r="F91" s="1"/>
      <c r="G91" s="1"/>
      <c r="H91" s="1"/>
      <c r="I91" s="1"/>
      <c r="J91" s="1"/>
      <c r="K91" s="1"/>
      <c r="L91" s="1"/>
      <c r="M91" s="1"/>
      <c r="N91" s="1"/>
      <c r="O91" s="1"/>
      <c r="P91" s="1"/>
      <c r="Q91" s="1"/>
      <c r="R91" s="1"/>
      <c r="S91" s="1"/>
      <c r="T91" s="1"/>
      <c r="U91" s="1"/>
      <c r="V91" s="1"/>
      <c r="W91" s="1"/>
      <c r="X91" s="1"/>
      <c r="Y91" s="1"/>
      <c r="Z91" s="1"/>
    </row>
    <row r="92" ht="15.75" customHeight="1">
      <c r="A92" s="1"/>
      <c r="B92" s="32"/>
      <c r="C92" s="165"/>
      <c r="D92" s="30"/>
      <c r="E92" s="1"/>
      <c r="F92" s="1"/>
      <c r="G92" s="1"/>
      <c r="H92" s="1"/>
      <c r="I92" s="1"/>
      <c r="J92" s="1"/>
      <c r="K92" s="1"/>
      <c r="L92" s="1"/>
      <c r="M92" s="1"/>
      <c r="N92" s="1"/>
      <c r="O92" s="1"/>
      <c r="P92" s="1"/>
      <c r="Q92" s="1"/>
      <c r="R92" s="1"/>
      <c r="S92" s="1"/>
      <c r="T92" s="1"/>
      <c r="U92" s="1"/>
      <c r="V92" s="1"/>
      <c r="W92" s="1"/>
      <c r="X92" s="1"/>
      <c r="Y92" s="1"/>
      <c r="Z92" s="1"/>
    </row>
    <row r="93" ht="15.75" customHeight="1">
      <c r="A93" s="1"/>
      <c r="B93" s="32"/>
      <c r="C93" s="165"/>
      <c r="D93" s="30"/>
      <c r="E93" s="1"/>
      <c r="F93" s="1"/>
      <c r="G93" s="1"/>
      <c r="H93" s="1"/>
      <c r="I93" s="1"/>
      <c r="J93" s="1"/>
      <c r="K93" s="1"/>
      <c r="L93" s="1"/>
      <c r="M93" s="1"/>
      <c r="N93" s="1"/>
      <c r="O93" s="1"/>
      <c r="P93" s="1"/>
      <c r="Q93" s="1"/>
      <c r="R93" s="1"/>
      <c r="S93" s="1"/>
      <c r="T93" s="1"/>
      <c r="U93" s="1"/>
      <c r="V93" s="1"/>
      <c r="W93" s="1"/>
      <c r="X93" s="1"/>
      <c r="Y93" s="1"/>
      <c r="Z93" s="1"/>
    </row>
    <row r="94" ht="15.75" customHeight="1">
      <c r="A94" s="1"/>
      <c r="B94" s="32"/>
      <c r="C94" s="165"/>
      <c r="D94" s="30"/>
      <c r="E94" s="1"/>
      <c r="F94" s="1"/>
      <c r="G94" s="1"/>
      <c r="H94" s="1"/>
      <c r="I94" s="1"/>
      <c r="J94" s="1"/>
      <c r="K94" s="1"/>
      <c r="L94" s="1"/>
      <c r="M94" s="1"/>
      <c r="N94" s="1"/>
      <c r="O94" s="1"/>
      <c r="P94" s="1"/>
      <c r="Q94" s="1"/>
      <c r="R94" s="1"/>
      <c r="S94" s="1"/>
      <c r="T94" s="1"/>
      <c r="U94" s="1"/>
      <c r="V94" s="1"/>
      <c r="W94" s="1"/>
      <c r="X94" s="1"/>
      <c r="Y94" s="1"/>
      <c r="Z94" s="1"/>
    </row>
    <row r="95" ht="15.75" customHeight="1">
      <c r="A95" s="1"/>
      <c r="B95" s="32"/>
      <c r="C95" s="166"/>
      <c r="D95" s="30"/>
      <c r="E95" s="1"/>
      <c r="F95" s="1"/>
      <c r="G95" s="1"/>
      <c r="H95" s="1"/>
      <c r="I95" s="1"/>
      <c r="J95" s="1"/>
      <c r="K95" s="1"/>
      <c r="L95" s="1"/>
      <c r="M95" s="1"/>
      <c r="N95" s="1"/>
      <c r="O95" s="1"/>
      <c r="P95" s="1"/>
      <c r="Q95" s="1"/>
      <c r="R95" s="1"/>
      <c r="S95" s="1"/>
      <c r="T95" s="1"/>
      <c r="U95" s="1"/>
      <c r="V95" s="1"/>
      <c r="W95" s="1"/>
      <c r="X95" s="1"/>
      <c r="Y95" s="1"/>
      <c r="Z95" s="1"/>
    </row>
    <row r="96" ht="15.75" customHeight="1">
      <c r="A96" s="1"/>
      <c r="B96" s="32"/>
      <c r="C96" s="165"/>
      <c r="D96" s="30"/>
      <c r="E96" s="1"/>
      <c r="F96" s="1"/>
      <c r="G96" s="1"/>
      <c r="H96" s="1"/>
      <c r="I96" s="1"/>
      <c r="J96" s="1"/>
      <c r="K96" s="1"/>
      <c r="L96" s="1"/>
      <c r="M96" s="1"/>
      <c r="N96" s="1"/>
      <c r="O96" s="1"/>
      <c r="P96" s="1"/>
      <c r="Q96" s="1"/>
      <c r="R96" s="1"/>
      <c r="S96" s="1"/>
      <c r="T96" s="1"/>
      <c r="U96" s="1"/>
      <c r="V96" s="1"/>
      <c r="W96" s="1"/>
      <c r="X96" s="1"/>
      <c r="Y96" s="1"/>
      <c r="Z96" s="1"/>
    </row>
    <row r="97" ht="15.75" customHeight="1">
      <c r="A97" s="1"/>
      <c r="B97" s="32"/>
      <c r="C97" s="165"/>
      <c r="D97" s="30"/>
      <c r="E97" s="1"/>
      <c r="F97" s="1"/>
      <c r="G97" s="1"/>
      <c r="H97" s="1"/>
      <c r="I97" s="1"/>
      <c r="J97" s="1"/>
      <c r="K97" s="1"/>
      <c r="L97" s="1"/>
      <c r="M97" s="1"/>
      <c r="N97" s="1"/>
      <c r="O97" s="1"/>
      <c r="P97" s="1"/>
      <c r="Q97" s="1"/>
      <c r="R97" s="1"/>
      <c r="S97" s="1"/>
      <c r="T97" s="1"/>
      <c r="U97" s="1"/>
      <c r="V97" s="1"/>
      <c r="W97" s="1"/>
      <c r="X97" s="1"/>
      <c r="Y97" s="1"/>
      <c r="Z97" s="1"/>
    </row>
    <row r="98" ht="15.75" customHeight="1">
      <c r="A98" s="1"/>
      <c r="B98" s="32"/>
      <c r="C98" s="165"/>
      <c r="D98" s="30"/>
      <c r="E98" s="1"/>
      <c r="F98" s="1"/>
      <c r="G98" s="1"/>
      <c r="H98" s="1"/>
      <c r="I98" s="1"/>
      <c r="J98" s="1"/>
      <c r="K98" s="1"/>
      <c r="L98" s="1"/>
      <c r="M98" s="1"/>
      <c r="N98" s="1"/>
      <c r="O98" s="1"/>
      <c r="P98" s="1"/>
      <c r="Q98" s="1"/>
      <c r="R98" s="1"/>
      <c r="S98" s="1"/>
      <c r="T98" s="1"/>
      <c r="U98" s="1"/>
      <c r="V98" s="1"/>
      <c r="W98" s="1"/>
      <c r="X98" s="1"/>
      <c r="Y98" s="1"/>
      <c r="Z98" s="1"/>
    </row>
    <row r="99" ht="15.75" customHeight="1">
      <c r="A99" s="1"/>
      <c r="B99" s="32"/>
      <c r="C99" s="165"/>
      <c r="D99" s="30"/>
      <c r="E99" s="1"/>
      <c r="F99" s="1"/>
      <c r="G99" s="1"/>
      <c r="H99" s="1"/>
      <c r="I99" s="1"/>
      <c r="J99" s="1"/>
      <c r="K99" s="1"/>
      <c r="L99" s="1"/>
      <c r="M99" s="1"/>
      <c r="N99" s="1"/>
      <c r="O99" s="1"/>
      <c r="P99" s="1"/>
      <c r="Q99" s="1"/>
      <c r="R99" s="1"/>
      <c r="S99" s="1"/>
      <c r="T99" s="1"/>
      <c r="U99" s="1"/>
      <c r="V99" s="1"/>
      <c r="W99" s="1"/>
      <c r="X99" s="1"/>
      <c r="Y99" s="1"/>
      <c r="Z99" s="1"/>
    </row>
    <row r="100" ht="15.75" customHeight="1">
      <c r="A100" s="1"/>
      <c r="B100" s="32"/>
      <c r="C100" s="166"/>
      <c r="D100" s="30"/>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32"/>
      <c r="C101" s="165"/>
      <c r="D101" s="30"/>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66"/>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C3:E3"/>
    <mergeCell ref="A8:F8"/>
    <mergeCell ref="A46:F46"/>
  </mergeCells>
  <hyperlinks>
    <hyperlink display="Return to Home" location="TOC!A1" ref="G3"/>
    <hyperlink r:id="rId1" ref="B10"/>
    <hyperlink r:id="rId2" ref="B14"/>
    <hyperlink r:id="rId3" ref="B18"/>
    <hyperlink r:id="rId4" ref="B23"/>
    <hyperlink r:id="rId5" ref="B27"/>
    <hyperlink r:id="rId6" ref="B31"/>
  </hyperlinks>
  <printOptions/>
  <pageMargins bottom="0.75" footer="0.0" header="0.0" left="0.7" right="0.7" top="0.75"/>
  <pageSetup orientation="landscape"/>
  <drawing r:id="rId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41.0"/>
    <col customWidth="1" min="2" max="3" width="34.22"/>
    <col customWidth="1" min="4" max="4" width="33.11"/>
    <col customWidth="1" min="5" max="5" width="34.89"/>
    <col customWidth="1" min="6" max="6" width="31.33"/>
    <col customWidth="1" min="7" max="26" width="10.56"/>
  </cols>
  <sheetData>
    <row r="1" ht="15.75" customHeight="1">
      <c r="A1" s="111" t="s">
        <v>564</v>
      </c>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565</v>
      </c>
      <c r="B3" s="3"/>
      <c r="C3" s="85" t="s">
        <v>566</v>
      </c>
      <c r="D3" s="86"/>
      <c r="E3" s="86"/>
      <c r="F3" s="1"/>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88" t="s">
        <v>28</v>
      </c>
      <c r="G6" s="1"/>
      <c r="H6" s="1"/>
      <c r="I6" s="1"/>
      <c r="J6" s="1"/>
      <c r="K6" s="1"/>
      <c r="L6" s="1"/>
      <c r="M6" s="1"/>
      <c r="N6" s="1"/>
      <c r="O6" s="1"/>
      <c r="P6" s="1"/>
      <c r="Q6" s="1"/>
      <c r="R6" s="1"/>
      <c r="S6" s="1"/>
      <c r="T6" s="1"/>
      <c r="U6" s="1"/>
      <c r="V6" s="1"/>
      <c r="W6" s="1"/>
      <c r="X6" s="1"/>
      <c r="Y6" s="1"/>
      <c r="Z6" s="1"/>
    </row>
    <row r="7" ht="30.0" customHeight="1">
      <c r="A7" s="89" t="s">
        <v>107</v>
      </c>
      <c r="B7" s="16"/>
      <c r="C7" s="16"/>
      <c r="D7" s="16"/>
      <c r="E7" s="16"/>
      <c r="F7" s="16"/>
      <c r="G7" s="1"/>
      <c r="H7" s="1"/>
      <c r="I7" s="1"/>
      <c r="J7" s="1"/>
      <c r="K7" s="1"/>
      <c r="L7" s="1"/>
      <c r="M7" s="1"/>
      <c r="N7" s="1"/>
      <c r="O7" s="1"/>
      <c r="P7" s="1"/>
      <c r="Q7" s="1"/>
      <c r="R7" s="1"/>
      <c r="S7" s="1"/>
      <c r="T7" s="1"/>
      <c r="U7" s="1"/>
      <c r="V7" s="1"/>
      <c r="W7" s="1"/>
      <c r="X7" s="1"/>
      <c r="Y7" s="1"/>
      <c r="Z7" s="1"/>
    </row>
    <row r="8" ht="15.75" customHeight="1">
      <c r="A8" s="122" t="s">
        <v>15</v>
      </c>
      <c r="B8" s="86"/>
      <c r="C8" s="86"/>
      <c r="D8" s="86"/>
      <c r="E8" s="86"/>
      <c r="F8" s="86"/>
      <c r="G8" s="1"/>
      <c r="H8" s="1"/>
      <c r="I8" s="1"/>
      <c r="J8" s="1"/>
      <c r="K8" s="1"/>
      <c r="L8" s="1"/>
      <c r="M8" s="1"/>
      <c r="N8" s="1"/>
      <c r="O8" s="1"/>
      <c r="P8" s="1"/>
      <c r="Q8" s="1"/>
      <c r="R8" s="1"/>
      <c r="S8" s="1"/>
      <c r="T8" s="1"/>
      <c r="U8" s="1"/>
      <c r="V8" s="1"/>
      <c r="W8" s="1"/>
      <c r="X8" s="1"/>
      <c r="Y8" s="1"/>
      <c r="Z8" s="1"/>
    </row>
    <row r="9" ht="15.75" customHeight="1">
      <c r="A9" s="3" t="s">
        <v>567</v>
      </c>
      <c r="B9" s="90" t="s">
        <v>108</v>
      </c>
      <c r="C9" s="98" t="s">
        <v>568</v>
      </c>
      <c r="D9" s="98" t="s">
        <v>568</v>
      </c>
      <c r="E9" s="98" t="s">
        <v>568</v>
      </c>
      <c r="F9" s="94"/>
      <c r="G9" s="1"/>
      <c r="H9" s="1"/>
      <c r="I9" s="1"/>
      <c r="J9" s="1"/>
      <c r="K9" s="1"/>
      <c r="L9" s="1"/>
      <c r="M9" s="1"/>
      <c r="N9" s="1"/>
      <c r="O9" s="1"/>
      <c r="P9" s="1"/>
      <c r="Q9" s="1"/>
      <c r="R9" s="1"/>
      <c r="S9" s="1"/>
      <c r="T9" s="1"/>
      <c r="U9" s="1"/>
      <c r="V9" s="1"/>
      <c r="W9" s="1"/>
      <c r="X9" s="1"/>
      <c r="Y9" s="1"/>
      <c r="Z9" s="1"/>
    </row>
    <row r="10" ht="15.75" customHeight="1">
      <c r="A10" s="132"/>
      <c r="B10" s="90"/>
      <c r="C10" s="97" t="s">
        <v>569</v>
      </c>
      <c r="D10" s="97" t="s">
        <v>569</v>
      </c>
      <c r="E10" s="97" t="s">
        <v>569</v>
      </c>
      <c r="F10" s="94"/>
      <c r="G10" s="1"/>
      <c r="H10" s="1"/>
      <c r="I10" s="1"/>
      <c r="J10" s="1"/>
      <c r="K10" s="1"/>
      <c r="L10" s="1"/>
      <c r="M10" s="1"/>
      <c r="N10" s="1"/>
      <c r="O10" s="1"/>
      <c r="P10" s="1"/>
      <c r="Q10" s="1"/>
      <c r="R10" s="1"/>
      <c r="S10" s="1"/>
      <c r="T10" s="1"/>
      <c r="U10" s="1"/>
      <c r="V10" s="1"/>
      <c r="W10" s="1"/>
      <c r="X10" s="1"/>
      <c r="Y10" s="1"/>
      <c r="Z10" s="1"/>
    </row>
    <row r="11" ht="15.75" customHeight="1">
      <c r="A11" s="1"/>
      <c r="B11" s="1"/>
      <c r="C11" s="1" t="s">
        <v>570</v>
      </c>
      <c r="D11" s="1" t="s">
        <v>571</v>
      </c>
      <c r="E11" s="1" t="s">
        <v>572</v>
      </c>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3" t="s">
        <v>66</v>
      </c>
      <c r="B13" s="90" t="s">
        <v>108</v>
      </c>
      <c r="C13" s="98" t="s">
        <v>573</v>
      </c>
      <c r="D13" s="98" t="s">
        <v>574</v>
      </c>
      <c r="E13" s="91" t="s">
        <v>575</v>
      </c>
      <c r="F13" s="94"/>
      <c r="G13" s="1"/>
      <c r="H13" s="1"/>
      <c r="I13" s="1"/>
      <c r="J13" s="1"/>
      <c r="K13" s="1"/>
      <c r="L13" s="1"/>
      <c r="M13" s="1"/>
      <c r="N13" s="1"/>
      <c r="O13" s="1"/>
      <c r="P13" s="1"/>
      <c r="Q13" s="1"/>
      <c r="R13" s="1"/>
      <c r="S13" s="1"/>
      <c r="T13" s="1"/>
      <c r="U13" s="1"/>
      <c r="V13" s="1"/>
      <c r="W13" s="1"/>
      <c r="X13" s="1"/>
      <c r="Y13" s="1"/>
      <c r="Z13" s="1"/>
    </row>
    <row r="14" ht="15.75" customHeight="1">
      <c r="A14" s="132" t="s">
        <v>576</v>
      </c>
      <c r="B14" s="90"/>
      <c r="C14" s="97" t="s">
        <v>125</v>
      </c>
      <c r="D14" s="97" t="s">
        <v>224</v>
      </c>
      <c r="E14" s="97" t="s">
        <v>577</v>
      </c>
      <c r="F14" s="94"/>
      <c r="G14" s="1"/>
      <c r="H14" s="1"/>
      <c r="I14" s="1"/>
      <c r="J14" s="1"/>
      <c r="K14" s="1"/>
      <c r="L14" s="1"/>
      <c r="M14" s="1"/>
      <c r="N14" s="1"/>
      <c r="O14" s="1"/>
      <c r="P14" s="1"/>
      <c r="Q14" s="1"/>
      <c r="R14" s="1"/>
      <c r="S14" s="1"/>
      <c r="T14" s="1"/>
      <c r="U14" s="1"/>
      <c r="V14" s="1"/>
      <c r="W14" s="1"/>
      <c r="X14" s="1"/>
      <c r="Y14" s="1"/>
      <c r="Z14" s="1"/>
    </row>
    <row r="15" ht="15.75" customHeight="1">
      <c r="A15" s="1"/>
      <c r="B15" s="1"/>
      <c r="C15" s="1" t="s">
        <v>578</v>
      </c>
      <c r="D15" s="1" t="s">
        <v>579</v>
      </c>
      <c r="E15" s="1" t="s">
        <v>580</v>
      </c>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8" t="s">
        <v>581</v>
      </c>
      <c r="B17" s="167" t="s">
        <v>108</v>
      </c>
      <c r="C17" s="168" t="s">
        <v>582</v>
      </c>
      <c r="D17" s="169"/>
      <c r="E17" s="169"/>
      <c r="F17" s="169"/>
      <c r="G17" s="170"/>
      <c r="H17" s="170"/>
      <c r="I17" s="170"/>
      <c r="J17" s="170"/>
      <c r="K17" s="170"/>
      <c r="L17" s="170"/>
      <c r="M17" s="170"/>
      <c r="N17" s="170"/>
      <c r="O17" s="170"/>
      <c r="P17" s="170"/>
      <c r="Q17" s="170"/>
      <c r="R17" s="170"/>
      <c r="S17" s="170"/>
      <c r="T17" s="170"/>
      <c r="U17" s="170"/>
      <c r="V17" s="170"/>
      <c r="W17" s="170"/>
      <c r="X17" s="170"/>
      <c r="Y17" s="170"/>
      <c r="Z17" s="170"/>
    </row>
    <row r="18">
      <c r="A18" s="171" t="s">
        <v>576</v>
      </c>
      <c r="B18" s="172"/>
      <c r="C18" s="173" t="s">
        <v>125</v>
      </c>
      <c r="D18" s="174"/>
      <c r="E18" s="174"/>
      <c r="F18" s="174"/>
      <c r="G18" s="175"/>
      <c r="H18" s="175"/>
      <c r="I18" s="175"/>
      <c r="J18" s="175"/>
      <c r="K18" s="175"/>
      <c r="L18" s="175"/>
      <c r="M18" s="175"/>
      <c r="N18" s="175"/>
      <c r="O18" s="175"/>
      <c r="P18" s="175"/>
      <c r="Q18" s="175"/>
      <c r="R18" s="175"/>
      <c r="S18" s="175"/>
      <c r="T18" s="175"/>
      <c r="U18" s="175"/>
      <c r="V18" s="175"/>
      <c r="W18" s="175"/>
      <c r="X18" s="175"/>
      <c r="Y18" s="175"/>
      <c r="Z18" s="175"/>
    </row>
    <row r="19">
      <c r="A19" s="176"/>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row>
    <row r="20">
      <c r="A20" s="176"/>
      <c r="B20" s="175"/>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row>
    <row r="21" ht="15.75" customHeight="1">
      <c r="A21" s="8" t="s">
        <v>583</v>
      </c>
      <c r="B21" s="167" t="s">
        <v>108</v>
      </c>
      <c r="C21" s="168" t="s">
        <v>584</v>
      </c>
      <c r="D21" s="169"/>
      <c r="E21" s="169"/>
      <c r="F21" s="169"/>
      <c r="G21" s="170"/>
      <c r="H21" s="170"/>
      <c r="I21" s="170"/>
      <c r="J21" s="170"/>
      <c r="K21" s="170"/>
      <c r="L21" s="170"/>
      <c r="M21" s="170"/>
      <c r="N21" s="170"/>
      <c r="O21" s="170"/>
      <c r="P21" s="170"/>
      <c r="Q21" s="170"/>
      <c r="R21" s="170"/>
      <c r="S21" s="170"/>
      <c r="T21" s="170"/>
      <c r="U21" s="170"/>
      <c r="V21" s="170"/>
      <c r="W21" s="170"/>
      <c r="X21" s="170"/>
      <c r="Y21" s="170"/>
      <c r="Z21" s="170"/>
    </row>
    <row r="22" ht="15.75" customHeight="1">
      <c r="A22" s="171" t="s">
        <v>576</v>
      </c>
      <c r="B22" s="172"/>
      <c r="C22" s="173" t="s">
        <v>125</v>
      </c>
      <c r="D22" s="174"/>
      <c r="E22" s="174"/>
      <c r="F22" s="174"/>
      <c r="G22" s="175"/>
      <c r="H22" s="175"/>
      <c r="I22" s="175"/>
      <c r="J22" s="175"/>
      <c r="K22" s="175"/>
      <c r="L22" s="175"/>
      <c r="M22" s="175"/>
      <c r="N22" s="175"/>
      <c r="O22" s="175"/>
      <c r="P22" s="175"/>
      <c r="Q22" s="175"/>
      <c r="R22" s="175"/>
      <c r="S22" s="175"/>
      <c r="T22" s="175"/>
      <c r="U22" s="175"/>
      <c r="V22" s="175"/>
      <c r="W22" s="175"/>
      <c r="X22" s="175"/>
      <c r="Y22" s="175"/>
      <c r="Z22" s="175"/>
    </row>
    <row r="23" ht="15.75" customHeight="1">
      <c r="A23" s="176"/>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ht="15.75" customHeight="1">
      <c r="A24" s="176"/>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ht="15.75" customHeight="1">
      <c r="A25" s="3" t="s">
        <v>68</v>
      </c>
      <c r="B25" s="90" t="s">
        <v>108</v>
      </c>
      <c r="C25" s="98" t="s">
        <v>585</v>
      </c>
      <c r="D25" s="94"/>
      <c r="E25" s="94"/>
      <c r="F25" s="94"/>
      <c r="G25" s="1"/>
      <c r="H25" s="1"/>
      <c r="I25" s="1"/>
      <c r="J25" s="1"/>
      <c r="K25" s="1"/>
      <c r="L25" s="1"/>
      <c r="M25" s="1"/>
      <c r="N25" s="1"/>
      <c r="O25" s="1"/>
      <c r="P25" s="1"/>
      <c r="Q25" s="1"/>
      <c r="R25" s="1"/>
      <c r="S25" s="1"/>
      <c r="T25" s="1"/>
      <c r="U25" s="1"/>
      <c r="V25" s="1"/>
      <c r="W25" s="1"/>
      <c r="X25" s="1"/>
      <c r="Y25" s="1"/>
      <c r="Z25" s="1"/>
    </row>
    <row r="26" ht="15.75" customHeight="1">
      <c r="A26" s="132" t="s">
        <v>576</v>
      </c>
      <c r="B26" s="90"/>
      <c r="C26" s="97" t="s">
        <v>586</v>
      </c>
      <c r="D26" s="94"/>
      <c r="E26" s="94"/>
      <c r="F26" s="94"/>
      <c r="G26" s="1"/>
      <c r="H26" s="1"/>
      <c r="I26" s="1"/>
      <c r="J26" s="1"/>
      <c r="K26" s="1"/>
      <c r="L26" s="1"/>
      <c r="M26" s="1"/>
      <c r="N26" s="1"/>
      <c r="O26" s="1"/>
      <c r="P26" s="1"/>
      <c r="Q26" s="1"/>
      <c r="R26" s="1"/>
      <c r="S26" s="1"/>
      <c r="T26" s="1"/>
      <c r="U26" s="1"/>
      <c r="V26" s="1"/>
      <c r="W26" s="1"/>
      <c r="X26" s="1"/>
      <c r="Y26" s="1"/>
      <c r="Z26" s="1"/>
    </row>
    <row r="27" ht="15.75" customHeight="1">
      <c r="A27" s="1"/>
      <c r="B27" s="1"/>
      <c r="C27" s="1" t="s">
        <v>587</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3" t="s">
        <v>69</v>
      </c>
      <c r="B29" s="90" t="s">
        <v>108</v>
      </c>
      <c r="C29" s="126" t="s">
        <v>588</v>
      </c>
      <c r="D29" s="126" t="s">
        <v>589</v>
      </c>
      <c r="E29" s="126" t="s">
        <v>590</v>
      </c>
      <c r="F29" s="104" t="s">
        <v>591</v>
      </c>
      <c r="G29" s="1"/>
      <c r="H29" s="1"/>
      <c r="I29" s="1"/>
      <c r="J29" s="1"/>
      <c r="K29" s="1"/>
      <c r="L29" s="1"/>
      <c r="M29" s="1"/>
      <c r="N29" s="1"/>
      <c r="O29" s="1"/>
      <c r="P29" s="1"/>
      <c r="Q29" s="1"/>
      <c r="R29" s="1"/>
      <c r="S29" s="1"/>
      <c r="T29" s="1"/>
      <c r="U29" s="1"/>
      <c r="V29" s="1"/>
      <c r="W29" s="1"/>
      <c r="X29" s="1"/>
      <c r="Y29" s="1"/>
      <c r="Z29" s="1"/>
    </row>
    <row r="30" ht="15.75" customHeight="1">
      <c r="A30" s="124" t="s">
        <v>592</v>
      </c>
      <c r="B30" s="94"/>
      <c r="C30" s="97">
        <v>1500.0</v>
      </c>
      <c r="D30" s="97" t="s">
        <v>593</v>
      </c>
      <c r="E30" s="97" t="s">
        <v>594</v>
      </c>
      <c r="F30" s="97" t="s">
        <v>292</v>
      </c>
      <c r="G30" s="1"/>
      <c r="H30" s="1"/>
      <c r="I30" s="1"/>
      <c r="J30" s="1"/>
      <c r="K30" s="1"/>
      <c r="L30" s="1"/>
      <c r="M30" s="1"/>
      <c r="N30" s="1"/>
      <c r="O30" s="1"/>
      <c r="P30" s="1"/>
      <c r="Q30" s="1"/>
      <c r="R30" s="1"/>
      <c r="S30" s="1"/>
      <c r="T30" s="1"/>
      <c r="U30" s="1"/>
      <c r="V30" s="1"/>
      <c r="W30" s="1"/>
      <c r="X30" s="1"/>
      <c r="Y30" s="1"/>
      <c r="Z30" s="1"/>
    </row>
    <row r="31" ht="15.75" customHeight="1">
      <c r="A31" s="1"/>
      <c r="B31" s="1"/>
      <c r="C31" s="1" t="s">
        <v>595</v>
      </c>
      <c r="D31" s="1" t="s">
        <v>596</v>
      </c>
      <c r="E31" s="1" t="s">
        <v>597</v>
      </c>
      <c r="F31" s="1" t="s">
        <v>598</v>
      </c>
      <c r="G31" s="1"/>
      <c r="H31" s="1"/>
      <c r="I31" s="1"/>
      <c r="J31" s="1"/>
      <c r="K31" s="1"/>
      <c r="L31" s="1"/>
      <c r="M31" s="1"/>
      <c r="N31" s="1"/>
      <c r="O31" s="1"/>
      <c r="P31" s="1"/>
      <c r="Q31" s="1"/>
      <c r="R31" s="1"/>
      <c r="S31" s="1"/>
      <c r="T31" s="1"/>
      <c r="U31" s="1"/>
      <c r="V31" s="1"/>
      <c r="W31" s="1"/>
      <c r="X31" s="1"/>
      <c r="Y31" s="1"/>
      <c r="Z31" s="1"/>
    </row>
    <row r="32" ht="15.75" customHeight="1">
      <c r="A32" s="1"/>
      <c r="B32" s="1"/>
      <c r="C32" s="6"/>
      <c r="D32" s="6"/>
      <c r="E32" s="6"/>
      <c r="F32" s="1"/>
      <c r="G32" s="1"/>
      <c r="H32" s="1"/>
      <c r="I32" s="1"/>
      <c r="J32" s="1"/>
      <c r="K32" s="1"/>
      <c r="L32" s="1"/>
      <c r="M32" s="1"/>
      <c r="N32" s="1"/>
      <c r="O32" s="1"/>
      <c r="P32" s="1"/>
      <c r="Q32" s="1"/>
      <c r="R32" s="1"/>
      <c r="S32" s="1"/>
      <c r="T32" s="1"/>
      <c r="U32" s="1"/>
      <c r="V32" s="1"/>
      <c r="W32" s="1"/>
      <c r="X32" s="1"/>
      <c r="Y32" s="1"/>
      <c r="Z32" s="1"/>
    </row>
    <row r="33" ht="15.75" customHeight="1">
      <c r="A33" s="3" t="s">
        <v>70</v>
      </c>
      <c r="B33" s="90" t="s">
        <v>108</v>
      </c>
      <c r="C33" s="126" t="s">
        <v>599</v>
      </c>
      <c r="D33" s="126" t="s">
        <v>600</v>
      </c>
      <c r="E33" s="104" t="s">
        <v>601</v>
      </c>
      <c r="F33" s="104" t="s">
        <v>591</v>
      </c>
      <c r="G33" s="1"/>
      <c r="H33" s="1"/>
      <c r="I33" s="1"/>
      <c r="J33" s="1"/>
      <c r="K33" s="1"/>
      <c r="L33" s="1"/>
      <c r="M33" s="1"/>
      <c r="N33" s="1"/>
      <c r="O33" s="1"/>
      <c r="P33" s="1"/>
      <c r="Q33" s="1"/>
      <c r="R33" s="1"/>
      <c r="S33" s="1"/>
      <c r="T33" s="1"/>
      <c r="U33" s="1"/>
      <c r="V33" s="1"/>
      <c r="W33" s="1"/>
      <c r="X33" s="1"/>
      <c r="Y33" s="1"/>
      <c r="Z33" s="1"/>
    </row>
    <row r="34" ht="15.75" customHeight="1">
      <c r="A34" s="124" t="s">
        <v>602</v>
      </c>
      <c r="B34" s="94"/>
      <c r="C34" s="97">
        <v>2500.0</v>
      </c>
      <c r="D34" s="97" t="s">
        <v>603</v>
      </c>
      <c r="E34" s="97" t="s">
        <v>604</v>
      </c>
      <c r="F34" s="97" t="s">
        <v>292</v>
      </c>
      <c r="G34" s="1"/>
      <c r="H34" s="1"/>
      <c r="I34" s="1"/>
      <c r="J34" s="1"/>
      <c r="K34" s="1"/>
      <c r="L34" s="1"/>
      <c r="M34" s="1"/>
      <c r="N34" s="1"/>
      <c r="O34" s="1"/>
      <c r="P34" s="1"/>
      <c r="Q34" s="1"/>
      <c r="R34" s="1"/>
      <c r="S34" s="1"/>
      <c r="T34" s="1"/>
      <c r="U34" s="1"/>
      <c r="V34" s="1"/>
      <c r="W34" s="1"/>
      <c r="X34" s="1"/>
      <c r="Y34" s="1"/>
      <c r="Z34" s="1"/>
    </row>
    <row r="35" ht="15.75" customHeight="1">
      <c r="A35" s="1"/>
      <c r="B35" s="1"/>
      <c r="C35" s="1" t="s">
        <v>605</v>
      </c>
      <c r="D35" s="1" t="s">
        <v>606</v>
      </c>
      <c r="E35" s="1" t="s">
        <v>607</v>
      </c>
      <c r="F35" s="1" t="s">
        <v>608</v>
      </c>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3" t="s">
        <v>71</v>
      </c>
      <c r="B37" s="177" t="s">
        <v>609</v>
      </c>
      <c r="C37" s="91" t="s">
        <v>610</v>
      </c>
      <c r="D37" s="90" t="s">
        <v>108</v>
      </c>
      <c r="E37" s="90" t="s">
        <v>108</v>
      </c>
      <c r="F37" s="94"/>
      <c r="G37" s="1"/>
      <c r="H37" s="1"/>
      <c r="I37" s="1"/>
      <c r="J37" s="1"/>
      <c r="K37" s="1"/>
      <c r="L37" s="1"/>
      <c r="M37" s="1"/>
      <c r="N37" s="1"/>
      <c r="O37" s="1"/>
      <c r="P37" s="1"/>
      <c r="Q37" s="1"/>
      <c r="R37" s="1"/>
      <c r="S37" s="1"/>
      <c r="T37" s="1"/>
      <c r="U37" s="1"/>
      <c r="V37" s="1"/>
      <c r="W37" s="1"/>
      <c r="X37" s="1"/>
      <c r="Y37" s="1"/>
      <c r="Z37" s="1"/>
    </row>
    <row r="38" ht="33.0" customHeight="1">
      <c r="A38" s="3"/>
      <c r="B38" s="90" t="s">
        <v>611</v>
      </c>
      <c r="C38" s="125" t="s">
        <v>612</v>
      </c>
      <c r="D38" s="94"/>
      <c r="E38" s="94"/>
      <c r="F38" s="94"/>
      <c r="G38" s="1"/>
      <c r="H38" s="1"/>
      <c r="I38" s="1"/>
      <c r="J38" s="1"/>
      <c r="K38" s="1"/>
      <c r="L38" s="1"/>
      <c r="M38" s="1"/>
      <c r="N38" s="1"/>
      <c r="O38" s="1"/>
      <c r="P38" s="1"/>
      <c r="Q38" s="1"/>
      <c r="R38" s="1"/>
      <c r="S38" s="1"/>
      <c r="T38" s="1"/>
      <c r="U38" s="1"/>
      <c r="V38" s="1"/>
      <c r="W38" s="1"/>
      <c r="X38" s="1"/>
      <c r="Y38" s="1"/>
      <c r="Z38" s="1"/>
    </row>
    <row r="39" ht="15.75" customHeight="1">
      <c r="A39" s="1"/>
      <c r="B39" s="1"/>
      <c r="C39" s="1" t="s">
        <v>613</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36.75" customHeight="1">
      <c r="A41" s="3" t="s">
        <v>614</v>
      </c>
      <c r="B41" s="90" t="s">
        <v>108</v>
      </c>
      <c r="C41" s="178" t="s">
        <v>615</v>
      </c>
      <c r="D41" s="179"/>
      <c r="E41" s="179"/>
      <c r="F41" s="179"/>
      <c r="G41" s="1"/>
      <c r="H41" s="1"/>
      <c r="I41" s="1"/>
      <c r="J41" s="1"/>
      <c r="K41" s="1"/>
      <c r="L41" s="1"/>
      <c r="M41" s="1"/>
      <c r="N41" s="1"/>
      <c r="O41" s="1"/>
      <c r="P41" s="1"/>
      <c r="Q41" s="1"/>
      <c r="R41" s="1"/>
      <c r="S41" s="1"/>
      <c r="T41" s="1"/>
      <c r="U41" s="1"/>
      <c r="V41" s="1"/>
      <c r="W41" s="1"/>
      <c r="X41" s="1"/>
      <c r="Y41" s="1"/>
      <c r="Z41" s="1"/>
    </row>
    <row r="42" ht="15.75" customHeight="1">
      <c r="A42" s="3"/>
      <c r="B42" s="94"/>
      <c r="C42" s="180"/>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20.5" customHeight="1">
      <c r="A45" s="3" t="s">
        <v>74</v>
      </c>
      <c r="B45" s="90" t="s">
        <v>108</v>
      </c>
      <c r="C45" s="123" t="s">
        <v>616</v>
      </c>
      <c r="D45" s="123" t="s">
        <v>617</v>
      </c>
      <c r="E45" s="123" t="s">
        <v>618</v>
      </c>
      <c r="F45" s="94"/>
      <c r="G45" s="1"/>
      <c r="H45" s="1"/>
      <c r="I45" s="1"/>
      <c r="J45" s="1"/>
      <c r="K45" s="1"/>
      <c r="L45" s="1"/>
      <c r="M45" s="1"/>
      <c r="N45" s="1"/>
      <c r="O45" s="1"/>
      <c r="P45" s="1"/>
      <c r="Q45" s="1"/>
      <c r="R45" s="1"/>
      <c r="S45" s="1"/>
      <c r="T45" s="1"/>
      <c r="U45" s="1"/>
      <c r="V45" s="1"/>
      <c r="W45" s="1"/>
      <c r="X45" s="1"/>
      <c r="Y45" s="1"/>
      <c r="Z45" s="1"/>
    </row>
    <row r="46" ht="15.75" customHeight="1">
      <c r="A46" s="124" t="s">
        <v>619</v>
      </c>
      <c r="B46" s="94"/>
      <c r="C46" s="97">
        <v>1500.0</v>
      </c>
      <c r="D46" s="97">
        <v>3000.0</v>
      </c>
      <c r="E46" s="97">
        <v>5000.0</v>
      </c>
      <c r="F46" s="94"/>
      <c r="G46" s="1"/>
      <c r="H46" s="1"/>
      <c r="I46" s="1"/>
      <c r="J46" s="1"/>
      <c r="K46" s="1"/>
      <c r="L46" s="1"/>
      <c r="M46" s="1"/>
      <c r="N46" s="1"/>
      <c r="O46" s="1"/>
      <c r="P46" s="1"/>
      <c r="Q46" s="1"/>
      <c r="R46" s="1"/>
      <c r="S46" s="1"/>
      <c r="T46" s="1"/>
      <c r="U46" s="1"/>
      <c r="V46" s="1"/>
      <c r="W46" s="1"/>
      <c r="X46" s="1"/>
      <c r="Y46" s="1"/>
      <c r="Z46" s="1"/>
    </row>
    <row r="47" ht="15.75" customHeight="1">
      <c r="A47" s="1"/>
      <c r="B47" s="1"/>
      <c r="C47" s="1" t="s">
        <v>620</v>
      </c>
      <c r="D47" s="1" t="s">
        <v>621</v>
      </c>
      <c r="E47" s="1" t="s">
        <v>622</v>
      </c>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3" t="s">
        <v>75</v>
      </c>
      <c r="B49" s="90" t="s">
        <v>108</v>
      </c>
      <c r="C49" s="104" t="s">
        <v>623</v>
      </c>
      <c r="D49" s="104" t="s">
        <v>624</v>
      </c>
      <c r="E49" s="104" t="s">
        <v>625</v>
      </c>
      <c r="F49" s="104" t="s">
        <v>626</v>
      </c>
      <c r="G49" s="1"/>
      <c r="H49" s="1"/>
      <c r="I49" s="1"/>
      <c r="J49" s="1"/>
      <c r="K49" s="1"/>
      <c r="L49" s="1"/>
      <c r="M49" s="1"/>
      <c r="N49" s="1"/>
      <c r="O49" s="1"/>
      <c r="P49" s="1"/>
      <c r="Q49" s="1"/>
      <c r="R49" s="1"/>
      <c r="S49" s="1"/>
      <c r="T49" s="1"/>
      <c r="U49" s="1"/>
      <c r="V49" s="1"/>
      <c r="W49" s="1"/>
      <c r="X49" s="1"/>
      <c r="Y49" s="1"/>
      <c r="Z49" s="1"/>
    </row>
    <row r="50" ht="15.75" customHeight="1">
      <c r="A50" s="124" t="s">
        <v>627</v>
      </c>
      <c r="B50" s="96"/>
      <c r="C50" s="97" t="s">
        <v>628</v>
      </c>
      <c r="D50" s="97" t="s">
        <v>629</v>
      </c>
      <c r="E50" s="125" t="s">
        <v>630</v>
      </c>
      <c r="F50" s="125" t="s">
        <v>631</v>
      </c>
      <c r="G50" s="1"/>
      <c r="H50" s="1"/>
      <c r="I50" s="1"/>
      <c r="J50" s="1"/>
      <c r="K50" s="1"/>
      <c r="L50" s="1"/>
      <c r="M50" s="1"/>
      <c r="N50" s="1"/>
      <c r="O50" s="1"/>
      <c r="P50" s="1"/>
      <c r="Q50" s="1"/>
      <c r="R50" s="1"/>
      <c r="S50" s="1"/>
      <c r="T50" s="1"/>
      <c r="U50" s="1"/>
      <c r="V50" s="1"/>
      <c r="W50" s="1"/>
      <c r="X50" s="1"/>
      <c r="Y50" s="1"/>
      <c r="Z50" s="1"/>
    </row>
    <row r="51" ht="15.75" customHeight="1">
      <c r="A51" s="1"/>
      <c r="B51" s="1"/>
      <c r="C51" s="1" t="s">
        <v>632</v>
      </c>
      <c r="D51" s="1" t="s">
        <v>633</v>
      </c>
      <c r="E51" s="1" t="s">
        <v>634</v>
      </c>
      <c r="F51" s="1" t="s">
        <v>635</v>
      </c>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3" t="s">
        <v>636</v>
      </c>
      <c r="B53" s="90" t="s">
        <v>108</v>
      </c>
      <c r="C53" s="91" t="s">
        <v>637</v>
      </c>
      <c r="D53" s="94"/>
      <c r="E53" s="94"/>
      <c r="F53" s="94"/>
      <c r="G53" s="1"/>
      <c r="H53" s="1"/>
      <c r="I53" s="1"/>
      <c r="J53" s="1"/>
      <c r="K53" s="1"/>
      <c r="L53" s="1"/>
      <c r="M53" s="1"/>
      <c r="N53" s="1"/>
      <c r="O53" s="1"/>
      <c r="P53" s="1"/>
      <c r="Q53" s="1"/>
      <c r="R53" s="1"/>
      <c r="S53" s="1"/>
      <c r="T53" s="1"/>
      <c r="U53" s="1"/>
      <c r="V53" s="1"/>
      <c r="W53" s="1"/>
      <c r="X53" s="1"/>
      <c r="Y53" s="1"/>
      <c r="Z53" s="1"/>
    </row>
    <row r="54" ht="15.75" customHeight="1">
      <c r="A54" s="132" t="s">
        <v>638</v>
      </c>
      <c r="B54" s="96"/>
      <c r="C54" s="97" t="s">
        <v>125</v>
      </c>
      <c r="D54" s="94"/>
      <c r="E54" s="94"/>
      <c r="F54" s="94"/>
      <c r="G54" s="1"/>
      <c r="H54" s="1"/>
      <c r="I54" s="1"/>
      <c r="J54" s="1"/>
      <c r="K54" s="1"/>
      <c r="L54" s="1"/>
      <c r="M54" s="1"/>
      <c r="N54" s="1"/>
      <c r="O54" s="1"/>
      <c r="P54" s="1"/>
      <c r="Q54" s="1"/>
      <c r="R54" s="1"/>
      <c r="S54" s="1"/>
      <c r="T54" s="1"/>
      <c r="U54" s="1"/>
      <c r="V54" s="1"/>
      <c r="W54" s="1"/>
      <c r="X54" s="1"/>
      <c r="Y54" s="1"/>
      <c r="Z54" s="1"/>
    </row>
    <row r="55" ht="15.75" customHeight="1">
      <c r="A55" s="1"/>
      <c r="B55" s="1"/>
      <c r="C55" s="1" t="s">
        <v>639</v>
      </c>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3" t="s">
        <v>640</v>
      </c>
      <c r="B57" s="90" t="s">
        <v>108</v>
      </c>
      <c r="C57" s="91" t="s">
        <v>641</v>
      </c>
      <c r="D57" s="94"/>
      <c r="E57" s="94"/>
      <c r="F57" s="94"/>
      <c r="G57" s="1"/>
      <c r="H57" s="1"/>
      <c r="I57" s="1"/>
      <c r="J57" s="1"/>
      <c r="K57" s="1"/>
      <c r="L57" s="1"/>
      <c r="M57" s="1"/>
      <c r="N57" s="1"/>
      <c r="O57" s="1"/>
      <c r="P57" s="1"/>
      <c r="Q57" s="1"/>
      <c r="R57" s="1"/>
      <c r="S57" s="1"/>
      <c r="T57" s="1"/>
      <c r="U57" s="1"/>
      <c r="V57" s="1"/>
      <c r="W57" s="1"/>
      <c r="X57" s="1"/>
      <c r="Y57" s="1"/>
      <c r="Z57" s="1"/>
    </row>
    <row r="58" ht="15.75" customHeight="1">
      <c r="A58" s="132" t="s">
        <v>642</v>
      </c>
      <c r="B58" s="96"/>
      <c r="C58" s="97" t="s">
        <v>125</v>
      </c>
      <c r="D58" s="94"/>
      <c r="E58" s="94"/>
      <c r="F58" s="94"/>
      <c r="G58" s="1"/>
      <c r="H58" s="1"/>
      <c r="I58" s="1"/>
      <c r="J58" s="1"/>
      <c r="K58" s="1"/>
      <c r="L58" s="1"/>
      <c r="M58" s="1"/>
      <c r="N58" s="1"/>
      <c r="O58" s="1"/>
      <c r="P58" s="1"/>
      <c r="Q58" s="1"/>
      <c r="R58" s="1"/>
      <c r="S58" s="1"/>
      <c r="T58" s="1"/>
      <c r="U58" s="1"/>
      <c r="V58" s="1"/>
      <c r="W58" s="1"/>
      <c r="X58" s="1"/>
      <c r="Y58" s="1"/>
      <c r="Z58" s="1"/>
    </row>
    <row r="59" ht="15.75" customHeight="1">
      <c r="A59" s="1"/>
      <c r="B59" s="1"/>
      <c r="C59" s="1" t="s">
        <v>643</v>
      </c>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3" t="s">
        <v>644</v>
      </c>
      <c r="B61" s="90" t="s">
        <v>108</v>
      </c>
      <c r="C61" s="91" t="s">
        <v>645</v>
      </c>
      <c r="D61" s="94"/>
      <c r="E61" s="94"/>
      <c r="F61" s="94"/>
      <c r="G61" s="1"/>
      <c r="H61" s="1"/>
      <c r="I61" s="1"/>
      <c r="J61" s="1"/>
      <c r="K61" s="1"/>
      <c r="L61" s="1"/>
      <c r="M61" s="1"/>
      <c r="N61" s="1"/>
      <c r="O61" s="1"/>
      <c r="P61" s="1"/>
      <c r="Q61" s="1"/>
      <c r="R61" s="1"/>
      <c r="S61" s="1"/>
      <c r="T61" s="1"/>
      <c r="U61" s="1"/>
      <c r="V61" s="1"/>
      <c r="W61" s="1"/>
      <c r="X61" s="1"/>
      <c r="Y61" s="1"/>
      <c r="Z61" s="1"/>
    </row>
    <row r="62" ht="15.75" customHeight="1">
      <c r="A62" s="132" t="s">
        <v>642</v>
      </c>
      <c r="B62" s="96"/>
      <c r="C62" s="97" t="s">
        <v>125</v>
      </c>
      <c r="D62" s="94"/>
      <c r="E62" s="94"/>
      <c r="F62" s="94"/>
      <c r="G62" s="1"/>
      <c r="H62" s="1"/>
      <c r="I62" s="1"/>
      <c r="J62" s="1"/>
      <c r="K62" s="1"/>
      <c r="L62" s="1"/>
      <c r="M62" s="1"/>
      <c r="N62" s="1"/>
      <c r="O62" s="1"/>
      <c r="P62" s="1"/>
      <c r="Q62" s="1"/>
      <c r="R62" s="1"/>
      <c r="S62" s="1"/>
      <c r="T62" s="1"/>
      <c r="U62" s="1"/>
      <c r="V62" s="1"/>
      <c r="W62" s="1"/>
      <c r="X62" s="1"/>
      <c r="Y62" s="1"/>
      <c r="Z62" s="1"/>
    </row>
    <row r="63" ht="15.75" customHeight="1">
      <c r="A63" s="1"/>
      <c r="B63" s="1"/>
      <c r="C63" s="1" t="s">
        <v>646</v>
      </c>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3" t="s">
        <v>647</v>
      </c>
      <c r="B65" s="90" t="s">
        <v>108</v>
      </c>
      <c r="C65" s="91" t="s">
        <v>648</v>
      </c>
      <c r="D65" s="94"/>
      <c r="E65" s="94"/>
      <c r="F65" s="94"/>
      <c r="G65" s="1"/>
      <c r="H65" s="1"/>
      <c r="I65" s="1"/>
      <c r="J65" s="1"/>
      <c r="K65" s="1"/>
      <c r="L65" s="1"/>
      <c r="M65" s="1"/>
      <c r="N65" s="1"/>
      <c r="O65" s="1"/>
      <c r="P65" s="1"/>
      <c r="Q65" s="1"/>
      <c r="R65" s="1"/>
      <c r="S65" s="1"/>
      <c r="T65" s="1"/>
      <c r="U65" s="1"/>
      <c r="V65" s="1"/>
      <c r="W65" s="1"/>
      <c r="X65" s="1"/>
      <c r="Y65" s="1"/>
      <c r="Z65" s="1"/>
    </row>
    <row r="66" ht="15.75" customHeight="1">
      <c r="A66" s="132" t="s">
        <v>642</v>
      </c>
      <c r="B66" s="96"/>
      <c r="C66" s="97" t="s">
        <v>125</v>
      </c>
      <c r="D66" s="94"/>
      <c r="E66" s="94"/>
      <c r="F66" s="94"/>
      <c r="G66" s="1"/>
      <c r="H66" s="1"/>
      <c r="I66" s="1"/>
      <c r="J66" s="1"/>
      <c r="K66" s="1"/>
      <c r="L66" s="1"/>
      <c r="M66" s="1"/>
      <c r="N66" s="1"/>
      <c r="O66" s="1"/>
      <c r="P66" s="1"/>
      <c r="Q66" s="1"/>
      <c r="R66" s="1"/>
      <c r="S66" s="1"/>
      <c r="T66" s="1"/>
      <c r="U66" s="1"/>
      <c r="V66" s="1"/>
      <c r="W66" s="1"/>
      <c r="X66" s="1"/>
      <c r="Y66" s="1"/>
      <c r="Z66" s="1"/>
    </row>
    <row r="67" ht="15.75" customHeight="1">
      <c r="A67" s="1"/>
      <c r="B67" s="1"/>
      <c r="C67" s="1" t="s">
        <v>649</v>
      </c>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3" t="s">
        <v>650</v>
      </c>
      <c r="B69" s="90" t="s">
        <v>108</v>
      </c>
      <c r="C69" s="91" t="s">
        <v>651</v>
      </c>
      <c r="D69" s="94"/>
      <c r="E69" s="94"/>
      <c r="F69" s="94"/>
      <c r="G69" s="1"/>
      <c r="H69" s="1"/>
      <c r="I69" s="1"/>
      <c r="J69" s="1"/>
      <c r="K69" s="1"/>
      <c r="L69" s="1"/>
      <c r="M69" s="1"/>
      <c r="N69" s="1"/>
      <c r="O69" s="1"/>
      <c r="P69" s="1"/>
      <c r="Q69" s="1"/>
      <c r="R69" s="1"/>
      <c r="S69" s="1"/>
      <c r="T69" s="1"/>
      <c r="U69" s="1"/>
      <c r="V69" s="1"/>
      <c r="W69" s="1"/>
      <c r="X69" s="1"/>
      <c r="Y69" s="1"/>
      <c r="Z69" s="1"/>
    </row>
    <row r="70" ht="15.75" customHeight="1">
      <c r="A70" s="132" t="s">
        <v>652</v>
      </c>
      <c r="B70" s="96"/>
      <c r="C70" s="97" t="s">
        <v>125</v>
      </c>
      <c r="D70" s="94"/>
      <c r="E70" s="94"/>
      <c r="F70" s="94"/>
      <c r="G70" s="1"/>
      <c r="H70" s="1"/>
      <c r="I70" s="1"/>
      <c r="J70" s="1"/>
      <c r="K70" s="1"/>
      <c r="L70" s="1"/>
      <c r="M70" s="1"/>
      <c r="N70" s="1"/>
      <c r="O70" s="1"/>
      <c r="P70" s="1"/>
      <c r="Q70" s="1"/>
      <c r="R70" s="1"/>
      <c r="S70" s="1"/>
      <c r="T70" s="1"/>
      <c r="U70" s="1"/>
      <c r="V70" s="1"/>
      <c r="W70" s="1"/>
      <c r="X70" s="1"/>
      <c r="Y70" s="1"/>
      <c r="Z70" s="1"/>
    </row>
    <row r="71" ht="15.75" customHeight="1">
      <c r="A71" s="1"/>
      <c r="B71" s="1"/>
      <c r="C71" s="1" t="s">
        <v>653</v>
      </c>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3" t="s">
        <v>654</v>
      </c>
      <c r="B73" s="90" t="s">
        <v>108</v>
      </c>
      <c r="C73" s="91" t="s">
        <v>655</v>
      </c>
      <c r="D73" s="94"/>
      <c r="E73" s="94"/>
      <c r="F73" s="94"/>
      <c r="G73" s="1"/>
      <c r="H73" s="1"/>
      <c r="I73" s="1"/>
      <c r="J73" s="1"/>
      <c r="K73" s="1"/>
      <c r="L73" s="1"/>
      <c r="M73" s="1"/>
      <c r="N73" s="1"/>
      <c r="O73" s="1"/>
      <c r="P73" s="1"/>
      <c r="Q73" s="1"/>
      <c r="R73" s="1"/>
      <c r="S73" s="1"/>
      <c r="T73" s="1"/>
      <c r="U73" s="1"/>
      <c r="V73" s="1"/>
      <c r="W73" s="1"/>
      <c r="X73" s="1"/>
      <c r="Y73" s="1"/>
      <c r="Z73" s="1"/>
    </row>
    <row r="74" ht="15.75" customHeight="1">
      <c r="A74" s="124" t="s">
        <v>656</v>
      </c>
      <c r="B74" s="96"/>
      <c r="C74" s="125" t="s">
        <v>657</v>
      </c>
      <c r="D74" s="94"/>
      <c r="E74" s="94"/>
      <c r="F74" s="94"/>
      <c r="G74" s="1"/>
      <c r="H74" s="1"/>
      <c r="I74" s="1"/>
      <c r="J74" s="1"/>
      <c r="K74" s="1"/>
      <c r="L74" s="1"/>
      <c r="M74" s="1"/>
      <c r="N74" s="1"/>
      <c r="O74" s="1"/>
      <c r="P74" s="1"/>
      <c r="Q74" s="1"/>
      <c r="R74" s="1"/>
      <c r="S74" s="1"/>
      <c r="T74" s="1"/>
      <c r="U74" s="1"/>
      <c r="V74" s="1"/>
      <c r="W74" s="1"/>
      <c r="X74" s="1"/>
      <c r="Y74" s="1"/>
      <c r="Z74" s="1"/>
    </row>
    <row r="75" ht="15.75" customHeight="1">
      <c r="A75" s="1"/>
      <c r="B75" s="1"/>
      <c r="C75" s="1" t="s">
        <v>658</v>
      </c>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36.75" customHeight="1">
      <c r="A77" s="127" t="s">
        <v>659</v>
      </c>
      <c r="B77" s="90" t="s">
        <v>108</v>
      </c>
      <c r="C77" s="181" t="s">
        <v>660</v>
      </c>
      <c r="D77" s="86"/>
      <c r="E77" s="86"/>
      <c r="F77" s="86"/>
      <c r="G77" s="1"/>
      <c r="H77" s="1"/>
      <c r="I77" s="1"/>
      <c r="J77" s="1"/>
      <c r="K77" s="1"/>
      <c r="L77" s="1"/>
      <c r="M77" s="1"/>
      <c r="N77" s="1"/>
      <c r="O77" s="1"/>
      <c r="P77" s="1"/>
      <c r="Q77" s="1"/>
      <c r="R77" s="1"/>
      <c r="S77" s="1"/>
      <c r="T77" s="1"/>
      <c r="U77" s="1"/>
      <c r="V77" s="1"/>
      <c r="W77" s="1"/>
      <c r="X77" s="1"/>
      <c r="Y77" s="1"/>
      <c r="Z77" s="1"/>
    </row>
    <row r="78" ht="15.75" customHeight="1">
      <c r="A78" s="3"/>
      <c r="B78" s="94"/>
      <c r="C78" s="182"/>
      <c r="D78" s="12"/>
      <c r="E78" s="183"/>
      <c r="F78" s="86"/>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36.75" customHeight="1">
      <c r="A81" s="127" t="s">
        <v>661</v>
      </c>
      <c r="B81" s="90" t="s">
        <v>108</v>
      </c>
      <c r="C81" s="181" t="s">
        <v>660</v>
      </c>
      <c r="D81" s="86"/>
      <c r="E81" s="86"/>
      <c r="F81" s="86"/>
      <c r="G81" s="1"/>
      <c r="H81" s="1"/>
      <c r="I81" s="1"/>
      <c r="J81" s="1"/>
      <c r="K81" s="1"/>
      <c r="L81" s="1"/>
      <c r="M81" s="1"/>
      <c r="N81" s="1"/>
      <c r="O81" s="1"/>
      <c r="P81" s="1"/>
      <c r="Q81" s="1"/>
      <c r="R81" s="1"/>
      <c r="S81" s="1"/>
      <c r="T81" s="1"/>
      <c r="U81" s="1"/>
      <c r="V81" s="1"/>
      <c r="W81" s="1"/>
      <c r="X81" s="1"/>
      <c r="Y81" s="1"/>
      <c r="Z81" s="1"/>
    </row>
    <row r="82" ht="15.75" customHeight="1">
      <c r="A82" s="3"/>
      <c r="B82" s="94"/>
      <c r="C82" s="182"/>
      <c r="D82" s="12"/>
      <c r="E82" s="183"/>
      <c r="F82" s="86"/>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27" t="s">
        <v>662</v>
      </c>
      <c r="B85" s="90" t="s">
        <v>108</v>
      </c>
      <c r="C85" s="181" t="s">
        <v>660</v>
      </c>
      <c r="D85" s="86"/>
      <c r="E85" s="86"/>
      <c r="F85" s="86"/>
      <c r="G85" s="1"/>
      <c r="H85" s="1"/>
      <c r="I85" s="1"/>
      <c r="J85" s="1"/>
      <c r="K85" s="1"/>
      <c r="L85" s="1"/>
      <c r="M85" s="1"/>
      <c r="N85" s="1"/>
      <c r="O85" s="1"/>
      <c r="P85" s="1"/>
      <c r="Q85" s="1"/>
      <c r="R85" s="1"/>
      <c r="S85" s="1"/>
      <c r="T85" s="1"/>
      <c r="U85" s="1"/>
      <c r="V85" s="1"/>
      <c r="W85" s="1"/>
      <c r="X85" s="1"/>
      <c r="Y85" s="1"/>
      <c r="Z85" s="1"/>
    </row>
    <row r="86" ht="15.75" customHeight="1">
      <c r="A86" s="3"/>
      <c r="B86" s="94"/>
      <c r="C86" s="182"/>
      <c r="D86" s="12"/>
      <c r="E86" s="183"/>
      <c r="F86" s="86"/>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27" t="s">
        <v>663</v>
      </c>
      <c r="B89" s="90" t="s">
        <v>108</v>
      </c>
      <c r="C89" s="104" t="s">
        <v>664</v>
      </c>
      <c r="D89" s="94"/>
      <c r="E89" s="94"/>
      <c r="F89" s="94"/>
      <c r="G89" s="1"/>
      <c r="H89" s="1"/>
      <c r="I89" s="1"/>
      <c r="J89" s="1"/>
      <c r="K89" s="1"/>
      <c r="L89" s="1"/>
      <c r="M89" s="1"/>
      <c r="N89" s="1"/>
      <c r="O89" s="1"/>
      <c r="P89" s="1"/>
      <c r="Q89" s="1"/>
      <c r="R89" s="1"/>
      <c r="S89" s="1"/>
      <c r="T89" s="1"/>
      <c r="U89" s="1"/>
      <c r="V89" s="1"/>
      <c r="W89" s="1"/>
      <c r="X89" s="1"/>
      <c r="Y89" s="1"/>
      <c r="Z89" s="1"/>
    </row>
    <row r="90" ht="15.75" customHeight="1">
      <c r="A90" s="3"/>
      <c r="B90" s="94"/>
      <c r="C90" s="97" t="s">
        <v>125</v>
      </c>
      <c r="D90" s="94"/>
      <c r="E90" s="94"/>
      <c r="F90" s="94"/>
      <c r="G90" s="1"/>
      <c r="H90" s="1"/>
      <c r="I90" s="1"/>
      <c r="J90" s="1"/>
      <c r="K90" s="1"/>
      <c r="L90" s="1"/>
      <c r="M90" s="1"/>
      <c r="N90" s="1"/>
      <c r="O90" s="1"/>
      <c r="P90" s="1"/>
      <c r="Q90" s="1"/>
      <c r="R90" s="1"/>
      <c r="S90" s="1"/>
      <c r="T90" s="1"/>
      <c r="U90" s="1"/>
      <c r="V90" s="1"/>
      <c r="W90" s="1"/>
      <c r="X90" s="1"/>
      <c r="Y90" s="1"/>
      <c r="Z90" s="1"/>
    </row>
    <row r="91" ht="15.75" customHeight="1">
      <c r="A91" s="1"/>
      <c r="B91" s="1"/>
      <c r="C91" s="1" t="s">
        <v>665</v>
      </c>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27" t="s">
        <v>666</v>
      </c>
      <c r="B93" s="90" t="s">
        <v>108</v>
      </c>
      <c r="C93" s="104" t="s">
        <v>667</v>
      </c>
      <c r="D93" s="94"/>
      <c r="E93" s="94"/>
      <c r="F93" s="94"/>
      <c r="G93" s="1"/>
      <c r="H93" s="1"/>
      <c r="I93" s="1"/>
      <c r="J93" s="1"/>
      <c r="K93" s="1"/>
      <c r="L93" s="1"/>
      <c r="M93" s="1"/>
      <c r="N93" s="1"/>
      <c r="O93" s="1"/>
      <c r="P93" s="1"/>
      <c r="Q93" s="1"/>
      <c r="R93" s="1"/>
      <c r="S93" s="1"/>
      <c r="T93" s="1"/>
      <c r="U93" s="1"/>
      <c r="V93" s="1"/>
      <c r="W93" s="1"/>
      <c r="X93" s="1"/>
      <c r="Y93" s="1"/>
      <c r="Z93" s="1"/>
    </row>
    <row r="94" ht="15.75" customHeight="1">
      <c r="A94" s="132" t="s">
        <v>668</v>
      </c>
      <c r="B94" s="94"/>
      <c r="C94" s="97" t="s">
        <v>125</v>
      </c>
      <c r="D94" s="94"/>
      <c r="E94" s="94"/>
      <c r="F94" s="94"/>
      <c r="G94" s="1"/>
      <c r="H94" s="1"/>
      <c r="I94" s="1"/>
      <c r="J94" s="1"/>
      <c r="K94" s="1"/>
      <c r="L94" s="1"/>
      <c r="M94" s="1"/>
      <c r="N94" s="1"/>
      <c r="O94" s="1"/>
      <c r="P94" s="1"/>
      <c r="Q94" s="1"/>
      <c r="R94" s="1"/>
      <c r="S94" s="1"/>
      <c r="T94" s="1"/>
      <c r="U94" s="1"/>
      <c r="V94" s="1"/>
      <c r="W94" s="1"/>
      <c r="X94" s="1"/>
      <c r="Y94" s="1"/>
      <c r="Z94" s="1"/>
    </row>
    <row r="95" ht="15.75" customHeight="1">
      <c r="A95" s="1"/>
      <c r="B95" s="1"/>
      <c r="C95" s="1" t="s">
        <v>669</v>
      </c>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85:F85"/>
    <mergeCell ref="E86:F86"/>
    <mergeCell ref="C3:E3"/>
    <mergeCell ref="A8:F8"/>
    <mergeCell ref="C41:F42"/>
    <mergeCell ref="C77:F77"/>
    <mergeCell ref="E78:F78"/>
    <mergeCell ref="C81:F81"/>
    <mergeCell ref="E82:F82"/>
  </mergeCells>
  <hyperlinks>
    <hyperlink display="Return to Home" location="TOC!A1" ref="G3"/>
    <hyperlink r:id="rId1" ref="B37"/>
  </hyperlinks>
  <printOptions/>
  <pageMargins bottom="0.75" footer="0.0" header="0.0" left="0.7" right="0.7" top="0.75"/>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78"/>
    <col customWidth="1" min="2" max="2" width="13.89"/>
    <col customWidth="1" min="3" max="3" width="15.67"/>
    <col customWidth="1" min="4" max="4" width="11.11"/>
    <col customWidth="1" min="5" max="6" width="12.67"/>
    <col customWidth="1" min="7" max="7" width="36.89"/>
    <col customWidth="1" min="8" max="8" width="56.78"/>
    <col customWidth="1" min="9" max="14" width="14.44"/>
    <col customWidth="1" min="15" max="15" width="14.33"/>
    <col customWidth="1" min="16" max="16" width="19.33"/>
    <col customWidth="1" min="17" max="17" width="14.33"/>
    <col customWidth="1" min="18" max="18" width="21.44"/>
    <col customWidth="1" min="19" max="19" width="23.67"/>
    <col customWidth="1" min="20" max="22" width="12.67"/>
    <col customWidth="1" hidden="1" min="23" max="23" width="8.89"/>
    <col customWidth="1" hidden="1" min="24" max="27" width="12.67"/>
    <col customWidth="1" hidden="1" min="28" max="28" width="23.56"/>
    <col customWidth="1" hidden="1" min="29" max="29" width="17.33"/>
    <col customWidth="1" hidden="1" min="30" max="30" width="16.78"/>
    <col customWidth="1" hidden="1" min="31" max="31" width="26.22"/>
    <col customWidth="1" hidden="1" min="32" max="49" width="11.0"/>
    <col hidden="1" min="50" max="79" width="11.22"/>
    <col customWidth="1" hidden="1" min="80" max="80" width="3.56"/>
    <col customWidth="1" hidden="1" min="81" max="82" width="28.67"/>
    <col customWidth="1" hidden="1" min="83" max="87" width="12.22"/>
    <col hidden="1" min="88" max="91" width="11.22"/>
    <col customWidth="1" hidden="1" min="92" max="93" width="14.33"/>
  </cols>
  <sheetData>
    <row r="1">
      <c r="A1" s="184"/>
      <c r="B1" s="185" t="s">
        <v>670</v>
      </c>
      <c r="C1" s="185" t="s">
        <v>48</v>
      </c>
      <c r="D1" s="185" t="s">
        <v>49</v>
      </c>
      <c r="E1" s="186" t="s">
        <v>671</v>
      </c>
      <c r="F1" s="187" t="s">
        <v>672</v>
      </c>
      <c r="G1" s="188" t="s">
        <v>673</v>
      </c>
      <c r="H1" s="189" t="s">
        <v>674</v>
      </c>
      <c r="I1" s="190" t="s">
        <v>675</v>
      </c>
      <c r="J1" s="191" t="s">
        <v>676</v>
      </c>
      <c r="K1" s="190" t="s">
        <v>677</v>
      </c>
      <c r="L1" s="191" t="s">
        <v>678</v>
      </c>
      <c r="M1" s="191" t="s">
        <v>679</v>
      </c>
      <c r="N1" s="191" t="s">
        <v>680</v>
      </c>
      <c r="O1" s="191" t="s">
        <v>681</v>
      </c>
      <c r="P1" s="191" t="s">
        <v>682</v>
      </c>
      <c r="Q1" s="191" t="s">
        <v>683</v>
      </c>
      <c r="R1" s="185" t="s">
        <v>684</v>
      </c>
      <c r="S1" s="185" t="s">
        <v>685</v>
      </c>
      <c r="T1" s="184" t="s">
        <v>686</v>
      </c>
      <c r="U1" s="184" t="s">
        <v>687</v>
      </c>
      <c r="V1" s="184" t="s">
        <v>688</v>
      </c>
      <c r="W1" s="87" t="s">
        <v>105</v>
      </c>
      <c r="X1" s="185" t="s">
        <v>689</v>
      </c>
      <c r="Y1" s="185" t="s">
        <v>690</v>
      </c>
      <c r="Z1" s="185" t="s">
        <v>691</v>
      </c>
      <c r="AA1" s="185" t="s">
        <v>692</v>
      </c>
      <c r="AB1" s="185" t="s">
        <v>693</v>
      </c>
      <c r="AC1" s="192" t="s">
        <v>694</v>
      </c>
      <c r="AD1" s="192" t="s">
        <v>695</v>
      </c>
      <c r="AE1" s="192" t="s">
        <v>696</v>
      </c>
      <c r="AF1" s="185" t="s">
        <v>697</v>
      </c>
      <c r="AG1" s="185" t="s">
        <v>698</v>
      </c>
      <c r="AH1" s="193" t="s">
        <v>699</v>
      </c>
      <c r="AI1" s="193" t="s">
        <v>700</v>
      </c>
      <c r="AJ1" s="193" t="s">
        <v>701</v>
      </c>
      <c r="AK1" s="193" t="s">
        <v>702</v>
      </c>
      <c r="AL1" s="193" t="s">
        <v>703</v>
      </c>
      <c r="AM1" s="193" t="s">
        <v>704</v>
      </c>
      <c r="AN1" s="193" t="s">
        <v>705</v>
      </c>
      <c r="AO1" s="185" t="s">
        <v>706</v>
      </c>
      <c r="AP1" s="185" t="s">
        <v>707</v>
      </c>
      <c r="AQ1" s="185" t="s">
        <v>708</v>
      </c>
      <c r="AR1" s="185" t="s">
        <v>709</v>
      </c>
      <c r="AS1" s="185" t="s">
        <v>710</v>
      </c>
      <c r="AT1" s="185" t="s">
        <v>711</v>
      </c>
      <c r="AU1" s="185" t="s">
        <v>712</v>
      </c>
      <c r="AV1" s="185" t="s">
        <v>713</v>
      </c>
      <c r="AW1" s="185" t="s">
        <v>714</v>
      </c>
      <c r="AX1" s="193" t="s">
        <v>715</v>
      </c>
      <c r="AY1" s="193" t="s">
        <v>716</v>
      </c>
      <c r="AZ1" s="193" t="s">
        <v>717</v>
      </c>
      <c r="BA1" s="193" t="s">
        <v>718</v>
      </c>
      <c r="BB1" s="193" t="s">
        <v>719</v>
      </c>
      <c r="BC1" s="193" t="s">
        <v>720</v>
      </c>
      <c r="BD1" s="193" t="s">
        <v>721</v>
      </c>
      <c r="BE1" s="193" t="s">
        <v>722</v>
      </c>
      <c r="BF1" s="193" t="s">
        <v>723</v>
      </c>
      <c r="BG1" s="193" t="s">
        <v>724</v>
      </c>
      <c r="BH1" s="193" t="s">
        <v>725</v>
      </c>
      <c r="BI1" s="193" t="s">
        <v>726</v>
      </c>
      <c r="BJ1" s="193" t="s">
        <v>727</v>
      </c>
      <c r="BK1" s="193" t="s">
        <v>728</v>
      </c>
      <c r="BL1" s="193" t="s">
        <v>729</v>
      </c>
      <c r="BM1" s="193" t="s">
        <v>730</v>
      </c>
      <c r="BN1" s="193" t="s">
        <v>731</v>
      </c>
      <c r="BO1" s="193" t="s">
        <v>732</v>
      </c>
      <c r="BP1" s="193" t="s">
        <v>733</v>
      </c>
      <c r="BQ1" s="193" t="s">
        <v>734</v>
      </c>
      <c r="BR1" s="193" t="s">
        <v>735</v>
      </c>
      <c r="BS1" s="193" t="s">
        <v>736</v>
      </c>
      <c r="BT1" s="193" t="s">
        <v>737</v>
      </c>
      <c r="BU1" s="193" t="s">
        <v>738</v>
      </c>
      <c r="BV1" s="193" t="s">
        <v>739</v>
      </c>
      <c r="BW1" s="193" t="s">
        <v>740</v>
      </c>
      <c r="BX1" s="193" t="s">
        <v>741</v>
      </c>
      <c r="BY1" s="193" t="s">
        <v>742</v>
      </c>
      <c r="BZ1" s="193" t="s">
        <v>743</v>
      </c>
      <c r="CA1" s="193" t="s">
        <v>744</v>
      </c>
      <c r="CB1" s="194"/>
      <c r="CC1" s="192"/>
      <c r="CD1" s="192" t="s">
        <v>745</v>
      </c>
      <c r="CE1" s="193" t="s">
        <v>746</v>
      </c>
      <c r="CF1" s="193" t="s">
        <v>747</v>
      </c>
      <c r="CG1" s="193" t="s">
        <v>748</v>
      </c>
      <c r="CH1" s="193" t="s">
        <v>749</v>
      </c>
      <c r="CI1" s="193" t="s">
        <v>750</v>
      </c>
      <c r="CJ1" s="193" t="s">
        <v>751</v>
      </c>
      <c r="CK1" s="193" t="s">
        <v>752</v>
      </c>
      <c r="CL1" s="193" t="s">
        <v>753</v>
      </c>
      <c r="CM1" s="193" t="s">
        <v>754</v>
      </c>
      <c r="CN1" s="193" t="s">
        <v>755</v>
      </c>
      <c r="CO1" s="193" t="s">
        <v>756</v>
      </c>
    </row>
    <row r="2">
      <c r="A2" s="185" t="s">
        <v>757</v>
      </c>
      <c r="B2" s="185" t="s">
        <v>384</v>
      </c>
      <c r="C2" s="185" t="s">
        <v>55</v>
      </c>
      <c r="D2" s="185" t="s">
        <v>56</v>
      </c>
      <c r="E2" s="195" t="s">
        <v>758</v>
      </c>
      <c r="F2" s="196" t="str">
        <f t="shared" ref="F2:F50" si="1">E2&amp;" - "&amp;D2</f>
        <v>RSSurveyRevConsult - Standard</v>
      </c>
      <c r="G2" s="196" t="str">
        <f>'Ad-Hoc | Design and Build'!$C10</f>
        <v>Qualtrics will review one (1) survey for Customer. 
Such survey review will include: 
Up to 30 questions (each individual statement in a matrix or similar format counts as a question)
Unless otherwise agreed, such survey review will not include:
Technical review or testing
Survey build or survey programming edits
Delivery Team Responsibilities:
If necessary, conduct kick-off call to discuss research objectives.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be subject to additional fees and further scoping by Qualtrics.
Provide the questionnaire in a .doc file, Google Doc, or similar format. Spreadsheet formats (.xls, Google Sheets, etc.) will be subject to additional fees and further scoping by Qualtrics.
Assumptions:
After initial survey recommendations are shared, Customer may request up to 2 rounds of iteration for review (Customer marked-up feedback on question content, response options, or logic that impacts 5 or more questions)
Estimated Timing: 3-5 business days</v>
      </c>
      <c r="H2" s="197" t="s">
        <v>759</v>
      </c>
      <c r="I2" s="190" t="s">
        <v>760</v>
      </c>
      <c r="J2" s="191">
        <f>'Ad-Hoc | Design and Build'!$C11</f>
        <v>2100</v>
      </c>
      <c r="K2" s="198">
        <f>'Ad-Hoc | Design and Build'!$C12</f>
        <v>2000</v>
      </c>
      <c r="L2" s="198"/>
      <c r="M2" s="198"/>
      <c r="N2" s="198"/>
      <c r="O2" s="199" t="s">
        <v>761</v>
      </c>
      <c r="P2" s="199" t="s">
        <v>762</v>
      </c>
      <c r="Q2" s="199" t="s">
        <v>763</v>
      </c>
      <c r="R2" s="195" t="s">
        <v>764</v>
      </c>
      <c r="S2" s="200"/>
      <c r="T2" s="195" t="s">
        <v>765</v>
      </c>
      <c r="U2" s="195" t="s">
        <v>765</v>
      </c>
      <c r="V2" s="195" t="s">
        <v>765</v>
      </c>
      <c r="W2" s="201"/>
      <c r="X2" s="195"/>
      <c r="Y2" s="195"/>
      <c r="Z2" s="195"/>
      <c r="AA2" s="195">
        <f>roundup(AN2,-1)</f>
        <v>470</v>
      </c>
      <c r="AB2" s="202">
        <v>0.76</v>
      </c>
      <c r="AC2" s="203">
        <v>2.0</v>
      </c>
      <c r="AD2" s="203">
        <v>1.0</v>
      </c>
      <c r="AE2" s="195" t="s">
        <v>766</v>
      </c>
      <c r="AF2" s="195" t="s">
        <v>767</v>
      </c>
      <c r="AG2" s="195" t="s">
        <v>768</v>
      </c>
      <c r="AH2" s="204"/>
      <c r="AI2" s="204">
        <v>1.0</v>
      </c>
      <c r="AJ2" s="204">
        <v>6.0</v>
      </c>
      <c r="AK2" s="204"/>
      <c r="AL2" s="204">
        <v>1.0</v>
      </c>
      <c r="AM2" s="205"/>
      <c r="AN2" s="205">
        <f>(AH2*'Staff Rates (Internal)'!B$2)+(AI2*'Staff Rates (Internal)'!B$3)+(AJ2*'Staff Rates (Internal)'!B$4)+(AK2*'Staff Rates (Internal)'!B$5)+(AL2*'Staff Rates (Internal)'!B$6)+(AM2*'Staff Rates (Internal)'!B$7)</f>
        <v>469.5</v>
      </c>
      <c r="AO2" s="206">
        <f>(AH2*'Staff Rates (External)'!B$2)+(AI2*'Staff Rates (External)'!B$3)+(AJ2*'Staff Rates (External)'!B$4)+(AK2*'Staff Rates (External)'!B$5)+(AL2*'Staff Rates (External)'!B$6)+(AM2*'Staff Rates (External)'!B$7)</f>
        <v>2100</v>
      </c>
      <c r="AR2" s="195" t="s">
        <v>769</v>
      </c>
      <c r="AS2" s="195" t="s">
        <v>770</v>
      </c>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4"/>
      <c r="BY2" s="204"/>
      <c r="BZ2" s="204"/>
      <c r="CA2" s="204"/>
      <c r="CB2" s="207"/>
      <c r="CC2" s="208" t="str">
        <f t="shared" ref="CC2:CC162" si="2">C2</f>
        <v>Survey Review and Consultation</v>
      </c>
      <c r="CD2" s="208">
        <f t="shared" ref="CD2:CD162" si="3">average(CE2:CO2)</f>
        <v>2.181818182</v>
      </c>
      <c r="CE2" s="203">
        <v>3.0</v>
      </c>
      <c r="CF2" s="203">
        <v>3.0</v>
      </c>
      <c r="CG2" s="203">
        <v>2.0</v>
      </c>
      <c r="CH2" s="203">
        <v>3.0</v>
      </c>
      <c r="CI2" s="203">
        <v>2.0</v>
      </c>
      <c r="CJ2" s="203">
        <v>3.0</v>
      </c>
      <c r="CK2" s="203">
        <v>2.0</v>
      </c>
      <c r="CL2" s="203">
        <v>3.0</v>
      </c>
      <c r="CM2" s="209">
        <v>1.0</v>
      </c>
      <c r="CN2" s="203">
        <v>1.0</v>
      </c>
      <c r="CO2" s="203">
        <v>1.0</v>
      </c>
    </row>
    <row r="3">
      <c r="A3" s="185" t="s">
        <v>757</v>
      </c>
      <c r="B3" s="185" t="s">
        <v>384</v>
      </c>
      <c r="C3" s="185" t="s">
        <v>55</v>
      </c>
      <c r="D3" s="185" t="s">
        <v>58</v>
      </c>
      <c r="E3" s="195" t="s">
        <v>758</v>
      </c>
      <c r="F3" s="196" t="str">
        <f t="shared" si="1"/>
        <v>RSSurveyRevConsult - Standard Plus</v>
      </c>
      <c r="G3" s="196" t="str">
        <f>'Ad-Hoc | Design and Build'!$D10</f>
        <v>Qualtrics will review one (1) survey for Customer. 
Such survey review will include: 
Up to 60 questions (each individual statement in a matrix or similar format counts as a question)
Unless otherwise agreed, such survey review will not include:
Technical review or testing
Survey build or survey programming edits
Delivery Team Responsibilities:
If necessary, conduct kick-off call to discuss research objectives.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be subject to additional fees and further scoping by Qualtrics.
Provide the questionnaire in a .doc file, Google Doc, or similar format. Spreadsheet formats (.xls, Google Sheets, etc.) will be subject to additional fees and further scoping by Qualtrics.
Assumptions:
After initial survey recommendations are shared, Customer may request up to 3 rounds of iteration for review (Customer marked-up feedback on question content, response options, or logic that impacts 5 or more questions)
Estimated Timing: 3-5 business days</v>
      </c>
      <c r="H3" s="210" t="s">
        <v>771</v>
      </c>
      <c r="I3" s="190" t="s">
        <v>760</v>
      </c>
      <c r="J3" s="191">
        <f>'Ad-Hoc | Design and Build'!$D11</f>
        <v>3100</v>
      </c>
      <c r="K3" s="198">
        <f>'Ad-Hoc | Design and Build'!$D12</f>
        <v>3000</v>
      </c>
      <c r="L3" s="198"/>
      <c r="M3" s="198"/>
      <c r="N3" s="198"/>
      <c r="O3" s="199" t="s">
        <v>761</v>
      </c>
      <c r="P3" s="199" t="s">
        <v>762</v>
      </c>
      <c r="Q3" s="199" t="s">
        <v>763</v>
      </c>
      <c r="R3" s="195" t="s">
        <v>764</v>
      </c>
      <c r="S3" s="200"/>
      <c r="T3" s="195" t="s">
        <v>765</v>
      </c>
      <c r="U3" s="195" t="s">
        <v>765</v>
      </c>
      <c r="V3" s="195" t="s">
        <v>765</v>
      </c>
      <c r="W3" s="201"/>
      <c r="X3" s="195"/>
      <c r="Y3" s="195"/>
      <c r="Z3" s="195"/>
      <c r="AA3" s="195">
        <f t="shared" ref="AA3:AA16" si="4">ROUNDUP(AN3,-1)</f>
        <v>630</v>
      </c>
      <c r="AB3" s="202">
        <v>0.76</v>
      </c>
      <c r="AC3" s="203">
        <v>2.0</v>
      </c>
      <c r="AD3" s="203">
        <v>1.0</v>
      </c>
      <c r="AE3" s="195" t="s">
        <v>766</v>
      </c>
      <c r="AF3" s="195" t="s">
        <v>767</v>
      </c>
      <c r="AG3" s="195" t="s">
        <v>768</v>
      </c>
      <c r="AH3" s="204"/>
      <c r="AI3" s="204">
        <v>1.0</v>
      </c>
      <c r="AJ3" s="204"/>
      <c r="AK3" s="204">
        <v>6.0</v>
      </c>
      <c r="AL3" s="204">
        <v>1.0</v>
      </c>
      <c r="AM3" s="205"/>
      <c r="AN3" s="205">
        <f>(AH3*'Staff Rates (Internal)'!B$2)+(AI3*'Staff Rates (Internal)'!B$3)+(AJ3*'Staff Rates (Internal)'!B$4)+(AK3*'Staff Rates (Internal)'!B$5)+(AL3*'Staff Rates (Internal)'!B$6)+(AM3*'Staff Rates (Internal)'!B$7)</f>
        <v>622.5</v>
      </c>
      <c r="AO3" s="206">
        <f>(AH3*'Staff Rates (External)'!B$2)+(AI3*'Staff Rates (External)'!B$3)+(AJ3*'Staff Rates (External)'!B$4)+(AK3*'Staff Rates (External)'!B$5)+(AL3*'Staff Rates (External)'!B$6)+(AM3*'Staff Rates (External)'!B$7)</f>
        <v>2100</v>
      </c>
      <c r="AR3" s="195" t="s">
        <v>769</v>
      </c>
      <c r="AS3" s="195" t="s">
        <v>770</v>
      </c>
      <c r="AX3" s="204"/>
      <c r="AY3" s="204"/>
      <c r="AZ3" s="204"/>
      <c r="BA3" s="204"/>
      <c r="BB3" s="204"/>
      <c r="BC3" s="204"/>
      <c r="BD3" s="204"/>
      <c r="BE3" s="204"/>
      <c r="BF3" s="204"/>
      <c r="BG3" s="204"/>
      <c r="BH3" s="204"/>
      <c r="BI3" s="204"/>
      <c r="BJ3" s="204"/>
      <c r="BK3" s="204"/>
      <c r="BL3" s="204"/>
      <c r="BM3" s="204"/>
      <c r="BN3" s="204"/>
      <c r="BO3" s="204"/>
      <c r="BP3" s="204"/>
      <c r="BQ3" s="204"/>
      <c r="BR3" s="204"/>
      <c r="BS3" s="204"/>
      <c r="BT3" s="204"/>
      <c r="BU3" s="204"/>
      <c r="BV3" s="204"/>
      <c r="BW3" s="204"/>
      <c r="BX3" s="204"/>
      <c r="BY3" s="204"/>
      <c r="BZ3" s="204"/>
      <c r="CA3" s="204"/>
      <c r="CB3" s="207"/>
      <c r="CC3" s="208" t="str">
        <f t="shared" si="2"/>
        <v>Survey Review and Consultation</v>
      </c>
      <c r="CD3" s="208">
        <f t="shared" si="3"/>
        <v>2.181818182</v>
      </c>
      <c r="CE3" s="203">
        <v>3.0</v>
      </c>
      <c r="CF3" s="203">
        <v>3.0</v>
      </c>
      <c r="CG3" s="203">
        <v>2.0</v>
      </c>
      <c r="CH3" s="203">
        <v>3.0</v>
      </c>
      <c r="CI3" s="203">
        <v>2.0</v>
      </c>
      <c r="CJ3" s="203">
        <v>3.0</v>
      </c>
      <c r="CK3" s="203">
        <v>2.0</v>
      </c>
      <c r="CL3" s="203">
        <v>3.0</v>
      </c>
      <c r="CM3" s="209">
        <v>1.0</v>
      </c>
      <c r="CN3" s="203">
        <v>1.0</v>
      </c>
      <c r="CO3" s="203">
        <v>1.0</v>
      </c>
    </row>
    <row r="4">
      <c r="A4" s="185" t="s">
        <v>757</v>
      </c>
      <c r="B4" s="185" t="s">
        <v>384</v>
      </c>
      <c r="C4" s="185" t="s">
        <v>55</v>
      </c>
      <c r="D4" s="185" t="s">
        <v>59</v>
      </c>
      <c r="E4" s="195" t="s">
        <v>758</v>
      </c>
      <c r="F4" s="196" t="str">
        <f t="shared" si="1"/>
        <v>RSSurveyRevConsult - Advanced</v>
      </c>
      <c r="G4" s="196" t="str">
        <f>'Ad-Hoc | Design and Build'!$E10</f>
        <v>Qualtrics will review one (1) survey for Customer. 
Such survey review will include: 
Up to 100 questions (each individual statement in a matrix or similar format counts as a question)
Unless otherwise agreed, such survey review will not include:
Technical review or testing
Survey build or survey programming edits
Delivery Team Responsibilities:
If necessary, conduct kick-off call to discuss research objectives.
Provide methodological expertise on best design practices and technical expertise on what is feasible in the platform.
Conduct Quality Assurance (QA) for Customer's survey design.
Share recommendations for Customer review.
Customer Responsibilities: 
Provide a fully written out questionnaire, including demographics and screener questions. Bullets or partially written questions will be subject to additional fees and further scoping by Qualtrics.
Provide the questionnaire in a .doc file, Google Doc, or similar format. Spreadsheet formats (.xls, Google Sheets, etc.) will be subject to additional fees and further scoping by Qualtrics.
Assumptions:
After initial survey recommendations are shared, Customer may request up to 4 rounds of iteration for review (Customer marked-up feedback on question content, response options, or logic that impacts 5 or more questions)
Estimated Timing: 5-7 business days</v>
      </c>
      <c r="H4" s="197" t="s">
        <v>772</v>
      </c>
      <c r="I4" s="190" t="s">
        <v>760</v>
      </c>
      <c r="J4" s="191">
        <f>'Ad-Hoc | Design and Build'!$E11</f>
        <v>5100</v>
      </c>
      <c r="K4" s="198">
        <f>'Ad-Hoc | Design and Build'!$E12</f>
        <v>5000</v>
      </c>
      <c r="L4" s="198"/>
      <c r="M4" s="198"/>
      <c r="N4" s="198"/>
      <c r="O4" s="199" t="s">
        <v>761</v>
      </c>
      <c r="P4" s="199" t="s">
        <v>762</v>
      </c>
      <c r="Q4" s="199" t="s">
        <v>763</v>
      </c>
      <c r="R4" s="195" t="s">
        <v>764</v>
      </c>
      <c r="S4" s="200"/>
      <c r="T4" s="195" t="s">
        <v>765</v>
      </c>
      <c r="U4" s="195" t="s">
        <v>765</v>
      </c>
      <c r="V4" s="195" t="s">
        <v>765</v>
      </c>
      <c r="W4" s="201"/>
      <c r="X4" s="195"/>
      <c r="Y4" s="195"/>
      <c r="Z4" s="195"/>
      <c r="AA4" s="195">
        <f t="shared" si="4"/>
        <v>1350</v>
      </c>
      <c r="AB4" s="202">
        <v>0.76</v>
      </c>
      <c r="AC4" s="203">
        <v>2.0</v>
      </c>
      <c r="AD4" s="203">
        <v>1.0</v>
      </c>
      <c r="AE4" s="195" t="s">
        <v>766</v>
      </c>
      <c r="AF4" s="195" t="s">
        <v>767</v>
      </c>
      <c r="AG4" s="195" t="s">
        <v>768</v>
      </c>
      <c r="AH4" s="204"/>
      <c r="AI4" s="204">
        <v>1.0</v>
      </c>
      <c r="AJ4" s="204"/>
      <c r="AK4" s="204">
        <v>10.0</v>
      </c>
      <c r="AL4" s="204">
        <v>4.0</v>
      </c>
      <c r="AM4" s="205"/>
      <c r="AN4" s="205">
        <f>(AH4*'Staff Rates (Internal)'!B$2)+(AI4*'Staff Rates (Internal)'!B$3)+(AJ4*'Staff Rates (Internal)'!B$4)+(AK4*'Staff Rates (Internal)'!B$5)+(AL4*'Staff Rates (Internal)'!B$6)+(AM4*'Staff Rates (Internal)'!B$7)</f>
        <v>1342.5</v>
      </c>
      <c r="AO4" s="206">
        <f>(AH4*'Staff Rates (External)'!B$2)+(AI4*'Staff Rates (External)'!B$3)+(AJ4*'Staff Rates (External)'!B$4)+(AK4*'Staff Rates (External)'!B$5)+(AL4*'Staff Rates (External)'!B$6)+(AM4*'Staff Rates (External)'!B$7)</f>
        <v>4150</v>
      </c>
      <c r="AR4" s="195" t="s">
        <v>769</v>
      </c>
      <c r="AS4" s="195" t="s">
        <v>770</v>
      </c>
      <c r="AX4" s="204"/>
      <c r="AY4" s="204"/>
      <c r="AZ4" s="204"/>
      <c r="BA4" s="204"/>
      <c r="BB4" s="204"/>
      <c r="BC4" s="204"/>
      <c r="BD4" s="204"/>
      <c r="BE4" s="204"/>
      <c r="BF4" s="204"/>
      <c r="BG4" s="204"/>
      <c r="BH4" s="204"/>
      <c r="BI4" s="204"/>
      <c r="BJ4" s="204"/>
      <c r="BK4" s="204"/>
      <c r="BL4" s="204"/>
      <c r="BM4" s="204"/>
      <c r="BN4" s="204"/>
      <c r="BO4" s="204"/>
      <c r="BP4" s="204"/>
      <c r="BQ4" s="204"/>
      <c r="BR4" s="204"/>
      <c r="BS4" s="204"/>
      <c r="BT4" s="204"/>
      <c r="BU4" s="204"/>
      <c r="BV4" s="204"/>
      <c r="BW4" s="204"/>
      <c r="BX4" s="204"/>
      <c r="BY4" s="204"/>
      <c r="BZ4" s="204"/>
      <c r="CA4" s="204"/>
      <c r="CB4" s="207"/>
      <c r="CC4" s="208" t="str">
        <f t="shared" si="2"/>
        <v>Survey Review and Consultation</v>
      </c>
      <c r="CD4" s="208">
        <f t="shared" si="3"/>
        <v>2.181818182</v>
      </c>
      <c r="CE4" s="203">
        <v>3.0</v>
      </c>
      <c r="CF4" s="203">
        <v>3.0</v>
      </c>
      <c r="CG4" s="203">
        <v>2.0</v>
      </c>
      <c r="CH4" s="203">
        <v>3.0</v>
      </c>
      <c r="CI4" s="203">
        <v>2.0</v>
      </c>
      <c r="CJ4" s="203">
        <v>3.0</v>
      </c>
      <c r="CK4" s="203">
        <v>2.0</v>
      </c>
      <c r="CL4" s="203">
        <v>3.0</v>
      </c>
      <c r="CM4" s="209">
        <v>1.0</v>
      </c>
      <c r="CN4" s="203">
        <v>1.0</v>
      </c>
      <c r="CO4" s="203">
        <v>1.0</v>
      </c>
    </row>
    <row r="5">
      <c r="A5" s="185" t="s">
        <v>757</v>
      </c>
      <c r="B5" s="185" t="s">
        <v>384</v>
      </c>
      <c r="C5" s="185" t="s">
        <v>55</v>
      </c>
      <c r="D5" s="185" t="s">
        <v>60</v>
      </c>
      <c r="E5" s="195" t="s">
        <v>758</v>
      </c>
      <c r="F5" s="196" t="str">
        <f t="shared" si="1"/>
        <v>RSSurveyRevConsult - Custom</v>
      </c>
      <c r="G5" s="196" t="str">
        <f>'Ad-Hoc | Design and Build'!$F10</f>
        <v>Custom quote for multiple surveys, review of a translated survey, or advanced consultation needs</v>
      </c>
      <c r="H5" s="197"/>
      <c r="I5" s="191"/>
      <c r="J5" s="191" t="str">
        <f>'Ad-Hoc | Design and Build'!$F11</f>
        <v>Custom Quote</v>
      </c>
      <c r="K5" s="198"/>
      <c r="L5" s="198"/>
      <c r="M5" s="198"/>
      <c r="N5" s="198"/>
      <c r="O5" s="198"/>
      <c r="P5" s="198"/>
      <c r="Q5" s="198"/>
      <c r="R5" s="195" t="s">
        <v>764</v>
      </c>
      <c r="S5" s="200"/>
      <c r="T5" s="195" t="s">
        <v>765</v>
      </c>
      <c r="U5" s="195" t="s">
        <v>765</v>
      </c>
      <c r="V5" s="195" t="s">
        <v>765</v>
      </c>
      <c r="W5" s="201"/>
      <c r="X5" s="195"/>
      <c r="Y5" s="195"/>
      <c r="Z5" s="195"/>
      <c r="AA5" s="195">
        <f t="shared" si="4"/>
        <v>70</v>
      </c>
      <c r="AB5" s="202">
        <v>0.76</v>
      </c>
      <c r="AC5" s="203">
        <v>2.0</v>
      </c>
      <c r="AD5" s="203">
        <v>1.0</v>
      </c>
      <c r="AE5" s="195" t="s">
        <v>766</v>
      </c>
      <c r="AF5" s="195" t="s">
        <v>767</v>
      </c>
      <c r="AG5" s="195" t="s">
        <v>768</v>
      </c>
      <c r="AH5" s="204"/>
      <c r="AI5" s="204">
        <v>1.0</v>
      </c>
      <c r="AJ5" s="204"/>
      <c r="AK5" s="204"/>
      <c r="AL5" s="204"/>
      <c r="AM5" s="205"/>
      <c r="AN5" s="205">
        <f>(AH5*'Staff Rates (Internal)'!B$2)+(AI5*'Staff Rates (Internal)'!B$3)+(AJ5*'Staff Rates (Internal)'!B$4)+(AK5*'Staff Rates (Internal)'!B$5)+(AL5*'Staff Rates (Internal)'!B$6)+(AM5*'Staff Rates (Internal)'!B$7)</f>
        <v>67.5</v>
      </c>
      <c r="AO5" s="206">
        <f>(AH5*'Staff Rates (External)'!B$2)+(AI5*'Staff Rates (External)'!B$3)+(AJ5*'Staff Rates (External)'!B$4)+(AK5*'Staff Rates (External)'!B$5)+(AL5*'Staff Rates (External)'!B$6)+(AM5*'Staff Rates (External)'!B$7)</f>
        <v>250</v>
      </c>
      <c r="AR5" s="195" t="s">
        <v>769</v>
      </c>
      <c r="AS5" s="195" t="s">
        <v>770</v>
      </c>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7"/>
      <c r="CC5" s="208" t="str">
        <f t="shared" si="2"/>
        <v>Survey Review and Consultation</v>
      </c>
      <c r="CD5" s="208">
        <f t="shared" si="3"/>
        <v>1.818181818</v>
      </c>
      <c r="CE5" s="203">
        <v>1.0</v>
      </c>
      <c r="CF5" s="203">
        <v>1.0</v>
      </c>
      <c r="CG5" s="203">
        <v>2.0</v>
      </c>
      <c r="CH5" s="203">
        <v>3.0</v>
      </c>
      <c r="CI5" s="203">
        <v>2.0</v>
      </c>
      <c r="CJ5" s="203">
        <v>3.0</v>
      </c>
      <c r="CK5" s="203">
        <v>2.0</v>
      </c>
      <c r="CL5" s="203">
        <v>3.0</v>
      </c>
      <c r="CM5" s="209">
        <v>1.0</v>
      </c>
      <c r="CN5" s="203">
        <v>1.0</v>
      </c>
      <c r="CO5" s="203">
        <v>1.0</v>
      </c>
    </row>
    <row r="6">
      <c r="A6" s="185" t="s">
        <v>757</v>
      </c>
      <c r="B6" s="185" t="s">
        <v>384</v>
      </c>
      <c r="C6" s="185" t="s">
        <v>61</v>
      </c>
      <c r="D6" s="185" t="s">
        <v>56</v>
      </c>
      <c r="E6" s="195" t="s">
        <v>773</v>
      </c>
      <c r="F6" s="196" t="str">
        <f t="shared" si="1"/>
        <v>RSSurveyDesignBuild - Standard</v>
      </c>
      <c r="G6" s="196" t="str">
        <f>'Ad-Hoc | Design and Build'!$C15</f>
        <v>Includes design and programming for:
1 survey in English
Up to 30 questions or elements (Embedded Data, hidden variables, individual statements in a matrix or similar format)
Light survey flow logic (fewer than 10 survey flow elements such as randomizers and branches)
Up to 2 rounds of iteration for design (one round of customer marked-up feedback on question content, response options, or logic that impacts 5 or more questions)
Assumptions:
After the Qualtrics test link is shared, the customer may request up to a total of 2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No manual implementation of customer-provided translations is included.
Estimated Timing: ~4 weeks (1 week for design, 1 week for client review, 1 week for programming, 1 week for client review)</v>
      </c>
      <c r="H6" s="197" t="s">
        <v>774</v>
      </c>
      <c r="I6" s="191"/>
      <c r="J6" s="191">
        <f>'Ad-Hoc | Design and Build'!$C16</f>
        <v>8000</v>
      </c>
      <c r="K6" s="198"/>
      <c r="L6" s="198"/>
      <c r="M6" s="198"/>
      <c r="N6" s="198"/>
      <c r="O6" s="199" t="s">
        <v>761</v>
      </c>
      <c r="P6" s="211" t="s">
        <v>762</v>
      </c>
      <c r="Q6" s="211" t="s">
        <v>775</v>
      </c>
      <c r="R6" s="195" t="s">
        <v>764</v>
      </c>
      <c r="S6" s="200"/>
      <c r="T6" s="195" t="s">
        <v>765</v>
      </c>
      <c r="U6" s="195" t="s">
        <v>765</v>
      </c>
      <c r="V6" s="195" t="s">
        <v>765</v>
      </c>
      <c r="W6" s="201"/>
      <c r="X6" s="195"/>
      <c r="Y6" s="195"/>
      <c r="Z6" s="195"/>
      <c r="AA6" s="195">
        <f t="shared" si="4"/>
        <v>1900</v>
      </c>
      <c r="AB6" s="202">
        <v>0.76</v>
      </c>
      <c r="AC6" s="203">
        <v>2.0</v>
      </c>
      <c r="AD6" s="203">
        <v>1.0</v>
      </c>
      <c r="AE6" s="195" t="s">
        <v>766</v>
      </c>
      <c r="AF6" s="195" t="s">
        <v>767</v>
      </c>
      <c r="AG6" s="195" t="s">
        <v>776</v>
      </c>
      <c r="AH6" s="204"/>
      <c r="AI6" s="204">
        <v>1.0</v>
      </c>
      <c r="AJ6" s="204">
        <v>22.0</v>
      </c>
      <c r="AK6" s="204"/>
      <c r="AL6" s="204">
        <v>6.0</v>
      </c>
      <c r="AM6" s="205"/>
      <c r="AN6" s="205">
        <f>(AH6*'Staff Rates (Internal)'!B$2)+(AI6*'Staff Rates (Internal)'!B$3)+(AJ6*'Staff Rates (Internal)'!B$4)+(AK6*'Staff Rates (Internal)'!B$5)+(AL6*'Staff Rates (Internal)'!B$6)+(AM6*'Staff Rates (Internal)'!B$7)</f>
        <v>1891.5</v>
      </c>
      <c r="AO6" s="206">
        <f>(AH6*'Staff Rates (External)'!B$2)+(AI6*'Staff Rates (External)'!B$3)+(AJ6*'Staff Rates (External)'!B$4)+(AK6*'Staff Rates (External)'!B$5)+(AL6*'Staff Rates (External)'!B$6)+(AM6*'Staff Rates (External)'!B$7)</f>
        <v>7850</v>
      </c>
      <c r="AR6" s="195" t="s">
        <v>769</v>
      </c>
      <c r="AS6" s="195" t="s">
        <v>770</v>
      </c>
      <c r="AX6" s="204" t="s">
        <v>765</v>
      </c>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7"/>
      <c r="CC6" s="208" t="str">
        <f t="shared" si="2"/>
        <v>Survey Design &amp; Build</v>
      </c>
      <c r="CD6" s="208">
        <f t="shared" si="3"/>
        <v>2.181818182</v>
      </c>
      <c r="CE6" s="203">
        <v>3.0</v>
      </c>
      <c r="CF6" s="203">
        <v>3.0</v>
      </c>
      <c r="CG6" s="203">
        <v>2.0</v>
      </c>
      <c r="CH6" s="203">
        <v>3.0</v>
      </c>
      <c r="CI6" s="203">
        <v>2.0</v>
      </c>
      <c r="CJ6" s="203">
        <v>3.0</v>
      </c>
      <c r="CK6" s="203">
        <v>2.0</v>
      </c>
      <c r="CL6" s="203">
        <v>3.0</v>
      </c>
      <c r="CM6" s="209">
        <v>1.0</v>
      </c>
      <c r="CN6" s="203">
        <v>1.0</v>
      </c>
      <c r="CO6" s="203">
        <v>1.0</v>
      </c>
    </row>
    <row r="7">
      <c r="A7" s="185" t="s">
        <v>757</v>
      </c>
      <c r="B7" s="185" t="s">
        <v>384</v>
      </c>
      <c r="C7" s="185" t="s">
        <v>61</v>
      </c>
      <c r="D7" s="185" t="s">
        <v>58</v>
      </c>
      <c r="E7" s="195"/>
      <c r="F7" s="196" t="str">
        <f t="shared" si="1"/>
        <v> - Standard Plus</v>
      </c>
      <c r="G7" s="196" t="str">
        <f>'Ad-Hoc | Design and Build'!$D15</f>
        <v>Includes design and programming for:
1 survey in English
Up to 60 questions or elements (Embedded Data, hidden variables, individual statements in a matrix or similar format)
Moderate survey flow logic (fewer than 50 survey flow elements such as randomizers and branches)
Up to 3 rounds of iteration for design (one round of customer marked-up feedback on question content, response options, or logic that impacts 5 or more questions)
Assumptions:
After the Qualtrics test link is shared, the customer may request up to a total of 3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No manual implementation of customer-provided translations is included.
Estimated Timing: ~4 weeks (1 week for design, 1 week for client review, 1 week for programming, 1 week for client review)</v>
      </c>
      <c r="H7" s="197" t="s">
        <v>777</v>
      </c>
      <c r="I7" s="191"/>
      <c r="J7" s="191">
        <f>'Ad-Hoc | Design and Build'!$D16</f>
        <v>11500</v>
      </c>
      <c r="K7" s="198"/>
      <c r="L7" s="198"/>
      <c r="M7" s="198"/>
      <c r="N7" s="198"/>
      <c r="O7" s="199" t="s">
        <v>761</v>
      </c>
      <c r="P7" s="211" t="s">
        <v>762</v>
      </c>
      <c r="Q7" s="211" t="s">
        <v>778</v>
      </c>
      <c r="R7" s="195" t="s">
        <v>764</v>
      </c>
      <c r="S7" s="200"/>
      <c r="T7" s="195" t="s">
        <v>765</v>
      </c>
      <c r="U7" s="195" t="s">
        <v>765</v>
      </c>
      <c r="V7" s="195" t="s">
        <v>765</v>
      </c>
      <c r="W7" s="201"/>
      <c r="X7" s="195"/>
      <c r="Y7" s="195"/>
      <c r="Z7" s="195"/>
      <c r="AA7" s="195">
        <f t="shared" si="4"/>
        <v>2860</v>
      </c>
      <c r="AB7" s="202">
        <v>0.76</v>
      </c>
      <c r="AC7" s="203">
        <v>2.0</v>
      </c>
      <c r="AD7" s="203">
        <v>1.0</v>
      </c>
      <c r="AE7" s="195" t="s">
        <v>766</v>
      </c>
      <c r="AF7" s="195" t="s">
        <v>767</v>
      </c>
      <c r="AG7" s="195" t="s">
        <v>776</v>
      </c>
      <c r="AH7" s="204"/>
      <c r="AI7" s="204">
        <v>2.0</v>
      </c>
      <c r="AJ7" s="204">
        <v>4.0</v>
      </c>
      <c r="AK7" s="204">
        <v>20.0</v>
      </c>
      <c r="AL7" s="204">
        <v>8.0</v>
      </c>
      <c r="AM7" s="205"/>
      <c r="AN7" s="205">
        <f>(AH7*'Staff Rates (Internal)'!B$2)+(AI7*'Staff Rates (Internal)'!B$3)+(AJ7*'Staff Rates (Internal)'!B$4)+(AK7*'Staff Rates (Internal)'!B$5)+(AL7*'Staff Rates (Internal)'!B$6)+(AM7*'Staff Rates (Internal)'!B$7)</f>
        <v>2853</v>
      </c>
      <c r="AO7" s="206">
        <f>(AH7*'Staff Rates (External)'!B$2)+(AI7*'Staff Rates (External)'!B$3)+(AJ7*'Staff Rates (External)'!B$4)+(AK7*'Staff Rates (External)'!B$5)+(AL7*'Staff Rates (External)'!B$6)+(AM7*'Staff Rates (External)'!B$7)</f>
        <v>9300</v>
      </c>
      <c r="AR7" s="195" t="s">
        <v>769</v>
      </c>
      <c r="AS7" s="195" t="s">
        <v>770</v>
      </c>
      <c r="AX7" s="204"/>
      <c r="AY7" s="204" t="s">
        <v>765</v>
      </c>
      <c r="AZ7" s="204"/>
      <c r="BA7" s="204"/>
      <c r="BB7" s="204" t="s">
        <v>765</v>
      </c>
      <c r="BC7" s="204"/>
      <c r="BD7" s="204"/>
      <c r="BE7" s="204"/>
      <c r="BF7" s="204" t="s">
        <v>765</v>
      </c>
      <c r="BG7" s="204"/>
      <c r="BH7" s="204"/>
      <c r="BI7" s="204"/>
      <c r="BJ7" s="204" t="s">
        <v>765</v>
      </c>
      <c r="BK7" s="204" t="s">
        <v>765</v>
      </c>
      <c r="BL7" s="204"/>
      <c r="BM7" s="204"/>
      <c r="BN7" s="204"/>
      <c r="BO7" s="204"/>
      <c r="BP7" s="204"/>
      <c r="BQ7" s="204"/>
      <c r="BR7" s="204"/>
      <c r="BS7" s="204"/>
      <c r="BT7" s="204"/>
      <c r="BU7" s="204"/>
      <c r="BV7" s="204"/>
      <c r="BW7" s="204"/>
      <c r="BX7" s="204"/>
      <c r="BY7" s="204"/>
      <c r="BZ7" s="204"/>
      <c r="CA7" s="204"/>
      <c r="CB7" s="207"/>
      <c r="CC7" s="208" t="str">
        <f t="shared" si="2"/>
        <v>Survey Design &amp; Build</v>
      </c>
      <c r="CD7" s="208">
        <f t="shared" si="3"/>
        <v>2.181818182</v>
      </c>
      <c r="CE7" s="203">
        <v>3.0</v>
      </c>
      <c r="CF7" s="203">
        <v>3.0</v>
      </c>
      <c r="CG7" s="203">
        <v>2.0</v>
      </c>
      <c r="CH7" s="203">
        <v>3.0</v>
      </c>
      <c r="CI7" s="203">
        <v>2.0</v>
      </c>
      <c r="CJ7" s="203">
        <v>3.0</v>
      </c>
      <c r="CK7" s="203">
        <v>2.0</v>
      </c>
      <c r="CL7" s="203">
        <v>3.0</v>
      </c>
      <c r="CM7" s="209">
        <v>1.0</v>
      </c>
      <c r="CN7" s="203">
        <v>1.0</v>
      </c>
      <c r="CO7" s="203">
        <v>1.0</v>
      </c>
    </row>
    <row r="8">
      <c r="A8" s="185" t="s">
        <v>757</v>
      </c>
      <c r="B8" s="185" t="s">
        <v>384</v>
      </c>
      <c r="C8" s="185" t="s">
        <v>61</v>
      </c>
      <c r="D8" s="185" t="s">
        <v>59</v>
      </c>
      <c r="E8" s="212" t="s">
        <v>773</v>
      </c>
      <c r="F8" s="196" t="str">
        <f t="shared" si="1"/>
        <v>RSSurveyDesignBuild - Advanced</v>
      </c>
      <c r="G8" s="196" t="str">
        <f>'Ad-Hoc | Design and Build'!$E15</f>
        <v>Includes design and programming for:
1 survey in English
Up to 100 questions or elements (Embedded Data, hidden variables, individual statements in a matrix or similar format)
Heavy survey flow logic (fewer than 100 survey flow elements such as randomizers and branches)
Up to 4 rounds of iteration for design (one round of customer marked-up feedback on question content, response options, or logic that impacts 5 or more questions)
Assumptions:
After the Qualtrics test link is shared, the customer may request up to a total of 4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No manual implementation of customer-provided translations is included.
Estimated Timing: ~5 weeks (1 week for design, 1 week for client review, 2 weeks for programming, 1 week for client review)</v>
      </c>
      <c r="H8" s="197" t="s">
        <v>779</v>
      </c>
      <c r="I8" s="191"/>
      <c r="J8" s="191">
        <f>'Ad-Hoc | Design and Build'!$E16</f>
        <v>14000</v>
      </c>
      <c r="K8" s="198"/>
      <c r="L8" s="198"/>
      <c r="M8" s="198"/>
      <c r="N8" s="198"/>
      <c r="O8" s="199" t="s">
        <v>761</v>
      </c>
      <c r="P8" s="211" t="s">
        <v>762</v>
      </c>
      <c r="Q8" s="211" t="s">
        <v>780</v>
      </c>
      <c r="R8" s="195" t="s">
        <v>764</v>
      </c>
      <c r="S8" s="200"/>
      <c r="T8" s="195" t="s">
        <v>765</v>
      </c>
      <c r="U8" s="195" t="s">
        <v>765</v>
      </c>
      <c r="V8" s="195" t="s">
        <v>765</v>
      </c>
      <c r="W8" s="201"/>
      <c r="X8" s="195"/>
      <c r="Y8" s="195"/>
      <c r="Z8" s="195"/>
      <c r="AA8" s="195">
        <f t="shared" si="4"/>
        <v>4220</v>
      </c>
      <c r="AB8" s="202">
        <v>0.76</v>
      </c>
      <c r="AC8" s="203">
        <v>2.0</v>
      </c>
      <c r="AD8" s="203">
        <v>1.0</v>
      </c>
      <c r="AE8" s="195" t="s">
        <v>766</v>
      </c>
      <c r="AF8" s="195" t="s">
        <v>767</v>
      </c>
      <c r="AG8" s="195" t="s">
        <v>776</v>
      </c>
      <c r="AH8" s="204"/>
      <c r="AI8" s="204">
        <v>4.0</v>
      </c>
      <c r="AJ8" s="204">
        <v>6.0</v>
      </c>
      <c r="AK8" s="204">
        <v>28.0</v>
      </c>
      <c r="AL8" s="204">
        <v>12.0</v>
      </c>
      <c r="AM8" s="205"/>
      <c r="AN8" s="205">
        <f>(AH8*'Staff Rates (Internal)'!B$2)+(AI8*'Staff Rates (Internal)'!B$3)+(AJ8*'Staff Rates (Internal)'!B$4)+(AK8*'Staff Rates (Internal)'!B$5)+(AL8*'Staff Rates (Internal)'!B$6)+(AM8*'Staff Rates (Internal)'!B$7)</f>
        <v>4212</v>
      </c>
      <c r="AO8" s="206">
        <f>(AH8*'Staff Rates (External)'!B$2)+(AI8*'Staff Rates (External)'!B$3)+(AJ8*'Staff Rates (External)'!B$4)+(AK8*'Staff Rates (External)'!B$5)+(AL8*'Staff Rates (External)'!B$6)+(AM8*'Staff Rates (External)'!B$7)</f>
        <v>13700</v>
      </c>
      <c r="AR8" s="195" t="s">
        <v>769</v>
      </c>
      <c r="AS8" s="195" t="s">
        <v>770</v>
      </c>
      <c r="AX8" s="204"/>
      <c r="AY8" s="204"/>
      <c r="AZ8" s="204" t="s">
        <v>765</v>
      </c>
      <c r="BA8" s="204"/>
      <c r="BB8" s="204"/>
      <c r="BC8" s="204" t="s">
        <v>765</v>
      </c>
      <c r="BD8" s="204" t="s">
        <v>765</v>
      </c>
      <c r="BE8" s="204"/>
      <c r="BF8" s="204"/>
      <c r="BG8" s="204" t="s">
        <v>765</v>
      </c>
      <c r="BH8" s="204" t="s">
        <v>765</v>
      </c>
      <c r="BI8" s="204"/>
      <c r="BJ8" s="204"/>
      <c r="BK8" s="204"/>
      <c r="BL8" s="204" t="s">
        <v>765</v>
      </c>
      <c r="BM8" s="204"/>
      <c r="BN8" s="204"/>
      <c r="BO8" s="204"/>
      <c r="BP8" s="204"/>
      <c r="BQ8" s="204"/>
      <c r="BR8" s="204"/>
      <c r="BS8" s="204"/>
      <c r="BT8" s="204"/>
      <c r="BU8" s="204"/>
      <c r="BV8" s="204"/>
      <c r="BW8" s="204"/>
      <c r="BX8" s="204"/>
      <c r="BY8" s="204"/>
      <c r="BZ8" s="204" t="s">
        <v>765</v>
      </c>
      <c r="CA8" s="204"/>
      <c r="CB8" s="207"/>
      <c r="CC8" s="208" t="str">
        <f t="shared" si="2"/>
        <v>Survey Design &amp; Build</v>
      </c>
      <c r="CD8" s="208">
        <f t="shared" si="3"/>
        <v>2.181818182</v>
      </c>
      <c r="CE8" s="203">
        <v>3.0</v>
      </c>
      <c r="CF8" s="203">
        <v>3.0</v>
      </c>
      <c r="CG8" s="203">
        <v>2.0</v>
      </c>
      <c r="CH8" s="203">
        <v>3.0</v>
      </c>
      <c r="CI8" s="203">
        <v>2.0</v>
      </c>
      <c r="CJ8" s="203">
        <v>3.0</v>
      </c>
      <c r="CK8" s="203">
        <v>2.0</v>
      </c>
      <c r="CL8" s="203">
        <v>3.0</v>
      </c>
      <c r="CM8" s="209">
        <v>1.0</v>
      </c>
      <c r="CN8" s="203">
        <v>1.0</v>
      </c>
      <c r="CO8" s="203">
        <v>1.0</v>
      </c>
    </row>
    <row r="9">
      <c r="A9" s="185" t="s">
        <v>757</v>
      </c>
      <c r="B9" s="185" t="s">
        <v>384</v>
      </c>
      <c r="C9" s="185" t="s">
        <v>61</v>
      </c>
      <c r="D9" s="185" t="s">
        <v>60</v>
      </c>
      <c r="E9" s="212" t="s">
        <v>773</v>
      </c>
      <c r="F9" s="196" t="str">
        <f t="shared" si="1"/>
        <v>RSSurveyDesignBuild - Custom</v>
      </c>
      <c r="G9" s="196" t="str">
        <f>'Ad-Hoc | Design and Build'!$F15</f>
        <v>Custom quote for survey with over 100 questions or elements, email or other triggers built in, advanced coding (javascript, API calls, HTML, etc.), multiple surveys, advanced analytics (MaxDiff, etc.)</v>
      </c>
      <c r="H9" s="197"/>
      <c r="I9" s="191"/>
      <c r="J9" s="191" t="str">
        <f>'Ad-Hoc | Design and Build'!$F16</f>
        <v>Custom Quote</v>
      </c>
      <c r="K9" s="198"/>
      <c r="L9" s="198"/>
      <c r="M9" s="198"/>
      <c r="N9" s="198"/>
      <c r="O9" s="198"/>
      <c r="P9" s="198"/>
      <c r="Q9" s="198"/>
      <c r="R9" s="195" t="s">
        <v>764</v>
      </c>
      <c r="S9" s="200"/>
      <c r="T9" s="195" t="s">
        <v>765</v>
      </c>
      <c r="U9" s="195" t="s">
        <v>765</v>
      </c>
      <c r="V9" s="195" t="s">
        <v>765</v>
      </c>
      <c r="W9" s="201"/>
      <c r="X9" s="195"/>
      <c r="Y9" s="195"/>
      <c r="Z9" s="195"/>
      <c r="AA9" s="195">
        <f t="shared" si="4"/>
        <v>270</v>
      </c>
      <c r="AB9" s="202">
        <v>0.76</v>
      </c>
      <c r="AC9" s="203">
        <v>2.0</v>
      </c>
      <c r="AD9" s="203">
        <v>1.0</v>
      </c>
      <c r="AE9" s="195" t="s">
        <v>766</v>
      </c>
      <c r="AF9" s="195" t="s">
        <v>767</v>
      </c>
      <c r="AG9" s="195" t="s">
        <v>776</v>
      </c>
      <c r="AH9" s="204"/>
      <c r="AI9" s="204">
        <v>4.0</v>
      </c>
      <c r="AJ9" s="204"/>
      <c r="AK9" s="204"/>
      <c r="AL9" s="204"/>
      <c r="AM9" s="205"/>
      <c r="AN9" s="205">
        <f>(AH9*'Staff Rates (Internal)'!B$2)+(AI9*'Staff Rates (Internal)'!B$3)+(AJ9*'Staff Rates (Internal)'!B$4)+(AK9*'Staff Rates (Internal)'!B$5)+(AL9*'Staff Rates (Internal)'!B$6)+(AM9*'Staff Rates (Internal)'!B$7)</f>
        <v>270</v>
      </c>
      <c r="AO9" s="206">
        <f>(AH9*'Staff Rates (External)'!B$2)+(AI9*'Staff Rates (External)'!B$3)+(AJ9*'Staff Rates (External)'!B$4)+(AK9*'Staff Rates (External)'!B$5)+(AL9*'Staff Rates (External)'!B$6)+(AM9*'Staff Rates (External)'!B$7)</f>
        <v>1000</v>
      </c>
      <c r="AR9" s="195" t="s">
        <v>769</v>
      </c>
      <c r="AS9" s="195" t="s">
        <v>770</v>
      </c>
      <c r="AX9" s="204"/>
      <c r="AY9" s="204"/>
      <c r="AZ9" s="204"/>
      <c r="BA9" s="204" t="s">
        <v>765</v>
      </c>
      <c r="BB9" s="204"/>
      <c r="BC9" s="204"/>
      <c r="BD9" s="204"/>
      <c r="BE9" s="204" t="s">
        <v>765</v>
      </c>
      <c r="BF9" s="204"/>
      <c r="BG9" s="204"/>
      <c r="BH9" s="204"/>
      <c r="BI9" s="204" t="s">
        <v>765</v>
      </c>
      <c r="BJ9" s="204"/>
      <c r="BK9" s="204"/>
      <c r="BL9" s="204"/>
      <c r="BM9" s="204" t="s">
        <v>765</v>
      </c>
      <c r="BN9" s="204"/>
      <c r="BO9" s="204"/>
      <c r="BP9" s="204"/>
      <c r="BQ9" s="204"/>
      <c r="BR9" s="204"/>
      <c r="BS9" s="204"/>
      <c r="BT9" s="204"/>
      <c r="BU9" s="204"/>
      <c r="BV9" s="204"/>
      <c r="BW9" s="204"/>
      <c r="BX9" s="204"/>
      <c r="BY9" s="204"/>
      <c r="BZ9" s="204"/>
      <c r="CA9" s="204" t="s">
        <v>765</v>
      </c>
      <c r="CB9" s="207"/>
      <c r="CC9" s="208" t="str">
        <f t="shared" si="2"/>
        <v>Survey Design &amp; Build</v>
      </c>
      <c r="CD9" s="208">
        <f t="shared" si="3"/>
        <v>1.818181818</v>
      </c>
      <c r="CE9" s="203">
        <v>1.0</v>
      </c>
      <c r="CF9" s="203">
        <v>1.0</v>
      </c>
      <c r="CG9" s="203">
        <v>2.0</v>
      </c>
      <c r="CH9" s="203">
        <v>3.0</v>
      </c>
      <c r="CI9" s="203">
        <v>2.0</v>
      </c>
      <c r="CJ9" s="203">
        <v>3.0</v>
      </c>
      <c r="CK9" s="203">
        <v>2.0</v>
      </c>
      <c r="CL9" s="203">
        <v>3.0</v>
      </c>
      <c r="CM9" s="209">
        <v>1.0</v>
      </c>
      <c r="CN9" s="203">
        <v>1.0</v>
      </c>
      <c r="CO9" s="203">
        <v>1.0</v>
      </c>
    </row>
    <row r="10">
      <c r="A10" s="185" t="s">
        <v>757</v>
      </c>
      <c r="B10" s="185" t="s">
        <v>384</v>
      </c>
      <c r="C10" s="185" t="s">
        <v>404</v>
      </c>
      <c r="D10" s="185" t="s">
        <v>56</v>
      </c>
      <c r="E10" s="195" t="s">
        <v>781</v>
      </c>
      <c r="F10" s="196" t="str">
        <f t="shared" si="1"/>
        <v>RSSurveyDesign - Standard</v>
      </c>
      <c r="G10" s="196" t="str">
        <f>'Ad-Hoc | Design and Build'!$C19</f>
        <v>Includes design for: 
1 survey in English
Up to 30 questions or elements (Embedded Data, hidden variables, individual statements in a matrix or similar format)
Light survey flow logic (fewer than 10 survey flow elements such as randomizers, blocks, and branches) noted in document 
Up to 2 rounds of iteration (one round of customer marked-up feedback on question content, response options, or logic that impacts 5 or more questions)
Estimated Timing: ~2 weeks (1 week for design, 1 week for client review)</v>
      </c>
      <c r="H10" s="197" t="s">
        <v>782</v>
      </c>
      <c r="I10" s="190" t="s">
        <v>760</v>
      </c>
      <c r="J10" s="191">
        <f>'Ad-Hoc | Design and Build'!$C20</f>
        <v>6100</v>
      </c>
      <c r="K10" s="198"/>
      <c r="L10" s="198"/>
      <c r="M10" s="198"/>
      <c r="N10" s="198"/>
      <c r="O10" s="199" t="s">
        <v>761</v>
      </c>
      <c r="P10" s="211" t="s">
        <v>762</v>
      </c>
      <c r="Q10" s="199" t="s">
        <v>763</v>
      </c>
      <c r="R10" s="195" t="s">
        <v>764</v>
      </c>
      <c r="S10" s="200"/>
      <c r="T10" s="195" t="s">
        <v>783</v>
      </c>
      <c r="U10" s="195" t="s">
        <v>783</v>
      </c>
      <c r="V10" s="195" t="s">
        <v>783</v>
      </c>
      <c r="W10" s="201"/>
      <c r="X10" s="195"/>
      <c r="Y10" s="195"/>
      <c r="Z10" s="195"/>
      <c r="AA10" s="195">
        <f t="shared" si="4"/>
        <v>1490</v>
      </c>
      <c r="AB10" s="202">
        <v>0.76</v>
      </c>
      <c r="AC10" s="203">
        <v>2.0</v>
      </c>
      <c r="AD10" s="203">
        <v>1.0</v>
      </c>
      <c r="AE10" s="195" t="s">
        <v>766</v>
      </c>
      <c r="AF10" s="195" t="s">
        <v>767</v>
      </c>
      <c r="AG10" s="195" t="s">
        <v>776</v>
      </c>
      <c r="AH10" s="204"/>
      <c r="AI10" s="204">
        <v>1.0</v>
      </c>
      <c r="AJ10" s="204">
        <v>16.0</v>
      </c>
      <c r="AK10" s="204"/>
      <c r="AL10" s="204">
        <v>5.0</v>
      </c>
      <c r="AM10" s="205"/>
      <c r="AN10" s="205">
        <f>(AH10*'Staff Rates (Internal)'!B$2)+(AI10*'Staff Rates (Internal)'!B$3)+(AJ10*'Staff Rates (Internal)'!B$4)+(AK10*'Staff Rates (Internal)'!B$5)+(AL10*'Staff Rates (Internal)'!B$6)+(AM10*'Staff Rates (Internal)'!B$7)</f>
        <v>1489.5</v>
      </c>
      <c r="AO10" s="206">
        <f>(AH10*'Staff Rates (External)'!B$2)+(AI10*'Staff Rates (External)'!B$3)+(AJ10*'Staff Rates (External)'!B$4)+(AK10*'Staff Rates (External)'!B$5)+(AL10*'Staff Rates (External)'!B$6)+(AM10*'Staff Rates (External)'!B$7)</f>
        <v>6000</v>
      </c>
      <c r="AR10" s="195" t="s">
        <v>769</v>
      </c>
      <c r="AS10" s="195" t="s">
        <v>770</v>
      </c>
      <c r="AX10" s="204" t="s">
        <v>765</v>
      </c>
      <c r="AY10" s="204"/>
      <c r="AZ10" s="204"/>
      <c r="BA10" s="204"/>
      <c r="BB10" s="204"/>
      <c r="BC10" s="204"/>
      <c r="BD10" s="204"/>
      <c r="BE10" s="204"/>
      <c r="BF10" s="204"/>
      <c r="BG10" s="204"/>
      <c r="BH10" s="204"/>
      <c r="BI10" s="204"/>
      <c r="BJ10" s="204"/>
      <c r="BK10" s="204"/>
      <c r="BL10" s="204"/>
      <c r="BM10" s="204"/>
      <c r="BN10" s="204"/>
      <c r="BO10" s="204"/>
      <c r="BP10" s="204"/>
      <c r="BQ10" s="204"/>
      <c r="BR10" s="204"/>
      <c r="BS10" s="204"/>
      <c r="BT10" s="204"/>
      <c r="BU10" s="204"/>
      <c r="BV10" s="204"/>
      <c r="BW10" s="204"/>
      <c r="BX10" s="204"/>
      <c r="BY10" s="204"/>
      <c r="BZ10" s="204"/>
      <c r="CA10" s="204"/>
      <c r="CB10" s="207"/>
      <c r="CC10" s="208" t="str">
        <f t="shared" si="2"/>
        <v>Survey Design (without Build)</v>
      </c>
      <c r="CD10" s="208">
        <f t="shared" si="3"/>
        <v>2</v>
      </c>
      <c r="CE10" s="203">
        <v>3.0</v>
      </c>
      <c r="CF10" s="203">
        <v>3.0</v>
      </c>
      <c r="CG10" s="203">
        <v>2.0</v>
      </c>
      <c r="CH10" s="203">
        <v>1.0</v>
      </c>
      <c r="CI10" s="203">
        <v>2.0</v>
      </c>
      <c r="CJ10" s="203">
        <v>3.0</v>
      </c>
      <c r="CK10" s="203">
        <v>2.0</v>
      </c>
      <c r="CL10" s="203">
        <v>3.0</v>
      </c>
      <c r="CM10" s="209">
        <v>1.0</v>
      </c>
      <c r="CN10" s="203">
        <v>1.0</v>
      </c>
      <c r="CO10" s="203">
        <v>1.0</v>
      </c>
    </row>
    <row r="11">
      <c r="A11" s="185" t="s">
        <v>757</v>
      </c>
      <c r="B11" s="185" t="s">
        <v>384</v>
      </c>
      <c r="C11" s="185" t="s">
        <v>404</v>
      </c>
      <c r="D11" s="185" t="s">
        <v>58</v>
      </c>
      <c r="E11" s="195" t="s">
        <v>781</v>
      </c>
      <c r="F11" s="196" t="str">
        <f t="shared" si="1"/>
        <v>RSSurveyDesign - Standard Plus</v>
      </c>
      <c r="G11" s="196" t="str">
        <f>'Ad-Hoc | Design and Build'!$D19</f>
        <v>Includes design for: 
1 survey in English
Up to 60 questions or elements (Embedded Data, hidden variables, individual statements in a matrix or similar format)
Moderate survey flow logic (fewer than 50 survey flow elements such as randomizers, blocks, and branches) noted in document 
Up to 3 rounds of iteration (one round of customer marked-up feedback on question content, response options, or logic that impacts 5 or more questions)
Estimated Timing: ~2 weeks (1 week for design, 1 week for client review)</v>
      </c>
      <c r="H11" s="197" t="s">
        <v>784</v>
      </c>
      <c r="I11" s="190" t="s">
        <v>760</v>
      </c>
      <c r="J11" s="191">
        <f>'Ad-Hoc | Design and Build'!$D20</f>
        <v>8100</v>
      </c>
      <c r="K11" s="198"/>
      <c r="L11" s="198"/>
      <c r="M11" s="198"/>
      <c r="N11" s="198"/>
      <c r="O11" s="199" t="s">
        <v>761</v>
      </c>
      <c r="P11" s="211" t="s">
        <v>762</v>
      </c>
      <c r="Q11" s="199" t="s">
        <v>763</v>
      </c>
      <c r="R11" s="195" t="s">
        <v>764</v>
      </c>
      <c r="S11" s="200"/>
      <c r="T11" s="195" t="s">
        <v>783</v>
      </c>
      <c r="U11" s="195" t="s">
        <v>783</v>
      </c>
      <c r="V11" s="195" t="s">
        <v>783</v>
      </c>
      <c r="W11" s="201"/>
      <c r="X11" s="195"/>
      <c r="Y11" s="195"/>
      <c r="Z11" s="195"/>
      <c r="AA11" s="195">
        <f t="shared" si="4"/>
        <v>1900</v>
      </c>
      <c r="AB11" s="202">
        <v>0.76</v>
      </c>
      <c r="AC11" s="203">
        <v>2.0</v>
      </c>
      <c r="AD11" s="203">
        <v>1.0</v>
      </c>
      <c r="AE11" s="195" t="s">
        <v>766</v>
      </c>
      <c r="AF11" s="195" t="s">
        <v>767</v>
      </c>
      <c r="AG11" s="195" t="s">
        <v>776</v>
      </c>
      <c r="AH11" s="204"/>
      <c r="AI11" s="204">
        <v>2.0</v>
      </c>
      <c r="AJ11" s="204">
        <v>2.0</v>
      </c>
      <c r="AK11" s="204">
        <v>16.0</v>
      </c>
      <c r="AL11" s="204">
        <v>4.0</v>
      </c>
      <c r="AM11" s="205"/>
      <c r="AN11" s="205">
        <f>(AH11*'Staff Rates (Internal)'!B$2)+(AI11*'Staff Rates (Internal)'!B$3)+(AJ11*'Staff Rates (Internal)'!B$4)+(AK11*'Staff Rates (Internal)'!B$5)+(AL11*'Staff Rates (Internal)'!B$6)+(AM11*'Staff Rates (Internal)'!B$7)</f>
        <v>1899</v>
      </c>
      <c r="AO11" s="206">
        <f>(AH11*'Staff Rates (External)'!B$2)+(AI11*'Staff Rates (External)'!B$3)+(AJ11*'Staff Rates (External)'!B$4)+(AK11*'Staff Rates (External)'!B$5)+(AL11*'Staff Rates (External)'!B$6)+(AM11*'Staff Rates (External)'!B$7)</f>
        <v>6400</v>
      </c>
      <c r="AR11" s="195" t="s">
        <v>769</v>
      </c>
      <c r="AS11" s="195" t="s">
        <v>770</v>
      </c>
      <c r="AX11" s="204"/>
      <c r="AY11" s="204" t="s">
        <v>765</v>
      </c>
      <c r="AZ11" s="204"/>
      <c r="BA11" s="204"/>
      <c r="BB11" s="204" t="s">
        <v>765</v>
      </c>
      <c r="BC11" s="204"/>
      <c r="BD11" s="204"/>
      <c r="BE11" s="204"/>
      <c r="BF11" s="204" t="s">
        <v>765</v>
      </c>
      <c r="BG11" s="204"/>
      <c r="BH11" s="204"/>
      <c r="BI11" s="204"/>
      <c r="BJ11" s="204" t="s">
        <v>765</v>
      </c>
      <c r="BK11" s="204" t="s">
        <v>765</v>
      </c>
      <c r="BL11" s="204"/>
      <c r="BM11" s="204"/>
      <c r="BN11" s="204"/>
      <c r="BO11" s="204"/>
      <c r="BP11" s="204"/>
      <c r="BQ11" s="204"/>
      <c r="BR11" s="204"/>
      <c r="BS11" s="204"/>
      <c r="BT11" s="204"/>
      <c r="BU11" s="204"/>
      <c r="BV11" s="204"/>
      <c r="BW11" s="204"/>
      <c r="BX11" s="204"/>
      <c r="BY11" s="204"/>
      <c r="BZ11" s="204"/>
      <c r="CA11" s="204"/>
      <c r="CB11" s="207"/>
      <c r="CC11" s="208" t="str">
        <f t="shared" si="2"/>
        <v>Survey Design (without Build)</v>
      </c>
      <c r="CD11" s="208">
        <f t="shared" si="3"/>
        <v>2</v>
      </c>
      <c r="CE11" s="203">
        <v>3.0</v>
      </c>
      <c r="CF11" s="203">
        <v>3.0</v>
      </c>
      <c r="CG11" s="203">
        <v>2.0</v>
      </c>
      <c r="CH11" s="203">
        <v>1.0</v>
      </c>
      <c r="CI11" s="203">
        <v>2.0</v>
      </c>
      <c r="CJ11" s="203">
        <v>3.0</v>
      </c>
      <c r="CK11" s="203">
        <v>2.0</v>
      </c>
      <c r="CL11" s="203">
        <v>3.0</v>
      </c>
      <c r="CM11" s="209">
        <v>1.0</v>
      </c>
      <c r="CN11" s="203">
        <v>1.0</v>
      </c>
      <c r="CO11" s="203">
        <v>1.0</v>
      </c>
    </row>
    <row r="12">
      <c r="A12" s="185" t="s">
        <v>757</v>
      </c>
      <c r="B12" s="185" t="s">
        <v>384</v>
      </c>
      <c r="C12" s="185" t="s">
        <v>404</v>
      </c>
      <c r="D12" s="185" t="s">
        <v>59</v>
      </c>
      <c r="E12" s="195" t="s">
        <v>781</v>
      </c>
      <c r="F12" s="196" t="str">
        <f t="shared" si="1"/>
        <v>RSSurveyDesign - Advanced</v>
      </c>
      <c r="G12" s="196" t="str">
        <f>'Ad-Hoc | Design and Build'!$E19</f>
        <v>Includes design for: 
1 survey in English
Up to 100 questions or elements (Embedded Data, hidden variables, individual statements in a matrix or similar format)
Heavy survey flow logic (fewer than 100 survey flow elements such as randomizers, blocks, and branches) noted in document 
Up to 4 rounds of iteration (one round of customer marked-up feedback on question content, response options, or logic that impacts 5 or more questions)
Estimated Timing: ~2 weeks (1 week for design, 1 week for client review)</v>
      </c>
      <c r="H12" s="197" t="s">
        <v>785</v>
      </c>
      <c r="I12" s="190" t="s">
        <v>760</v>
      </c>
      <c r="J12" s="191">
        <f>'Ad-Hoc | Design and Build'!$E20</f>
        <v>9100</v>
      </c>
      <c r="K12" s="198"/>
      <c r="L12" s="198"/>
      <c r="M12" s="198"/>
      <c r="N12" s="198"/>
      <c r="O12" s="199" t="s">
        <v>761</v>
      </c>
      <c r="P12" s="211" t="s">
        <v>762</v>
      </c>
      <c r="Q12" s="199" t="s">
        <v>763</v>
      </c>
      <c r="R12" s="195" t="s">
        <v>764</v>
      </c>
      <c r="S12" s="200"/>
      <c r="T12" s="195" t="s">
        <v>783</v>
      </c>
      <c r="U12" s="195" t="s">
        <v>783</v>
      </c>
      <c r="V12" s="195" t="s">
        <v>783</v>
      </c>
      <c r="W12" s="201"/>
      <c r="X12" s="195"/>
      <c r="Y12" s="195"/>
      <c r="Z12" s="195"/>
      <c r="AA12" s="195">
        <f t="shared" si="4"/>
        <v>2640</v>
      </c>
      <c r="AB12" s="202">
        <v>0.76</v>
      </c>
      <c r="AC12" s="203">
        <v>2.0</v>
      </c>
      <c r="AD12" s="203">
        <v>1.0</v>
      </c>
      <c r="AE12" s="195" t="s">
        <v>766</v>
      </c>
      <c r="AF12" s="195" t="s">
        <v>767</v>
      </c>
      <c r="AG12" s="195" t="s">
        <v>776</v>
      </c>
      <c r="AH12" s="204"/>
      <c r="AI12" s="204">
        <v>4.0</v>
      </c>
      <c r="AJ12" s="204">
        <v>2.0</v>
      </c>
      <c r="AK12" s="204">
        <v>16.0</v>
      </c>
      <c r="AL12" s="204">
        <v>8.0</v>
      </c>
      <c r="AM12" s="205"/>
      <c r="AN12" s="205">
        <f>(AH12*'Staff Rates (Internal)'!B$2)+(AI12*'Staff Rates (Internal)'!B$3)+(AJ12*'Staff Rates (Internal)'!B$4)+(AK12*'Staff Rates (Internal)'!B$5)+(AL12*'Staff Rates (Internal)'!B$6)+(AM12*'Staff Rates (Internal)'!B$7)</f>
        <v>2634</v>
      </c>
      <c r="AO12" s="206">
        <f>(AH12*'Staff Rates (External)'!B$2)+(AI12*'Staff Rates (External)'!B$3)+(AJ12*'Staff Rates (External)'!B$4)+(AK12*'Staff Rates (External)'!B$5)+(AL12*'Staff Rates (External)'!B$6)+(AM12*'Staff Rates (External)'!B$7)</f>
        <v>8300</v>
      </c>
      <c r="AR12" s="195" t="s">
        <v>769</v>
      </c>
      <c r="AS12" s="195" t="s">
        <v>770</v>
      </c>
      <c r="AX12" s="204"/>
      <c r="AY12" s="204"/>
      <c r="AZ12" s="204" t="s">
        <v>765</v>
      </c>
      <c r="BA12" s="204"/>
      <c r="BB12" s="204"/>
      <c r="BC12" s="204" t="s">
        <v>765</v>
      </c>
      <c r="BD12" s="204" t="s">
        <v>765</v>
      </c>
      <c r="BE12" s="204"/>
      <c r="BF12" s="204"/>
      <c r="BG12" s="204" t="s">
        <v>765</v>
      </c>
      <c r="BH12" s="204" t="s">
        <v>765</v>
      </c>
      <c r="BI12" s="204"/>
      <c r="BJ12" s="204"/>
      <c r="BK12" s="204"/>
      <c r="BL12" s="204" t="s">
        <v>765</v>
      </c>
      <c r="BM12" s="204"/>
      <c r="BN12" s="204"/>
      <c r="BO12" s="204"/>
      <c r="BP12" s="204"/>
      <c r="BQ12" s="204"/>
      <c r="BR12" s="204"/>
      <c r="BS12" s="204"/>
      <c r="BT12" s="204"/>
      <c r="BU12" s="204"/>
      <c r="BV12" s="204"/>
      <c r="BW12" s="204"/>
      <c r="BX12" s="204"/>
      <c r="BY12" s="204"/>
      <c r="BZ12" s="204" t="s">
        <v>765</v>
      </c>
      <c r="CA12" s="204"/>
      <c r="CB12" s="207"/>
      <c r="CC12" s="208" t="str">
        <f t="shared" si="2"/>
        <v>Survey Design (without Build)</v>
      </c>
      <c r="CD12" s="208">
        <f t="shared" si="3"/>
        <v>2</v>
      </c>
      <c r="CE12" s="203">
        <v>3.0</v>
      </c>
      <c r="CF12" s="203">
        <v>3.0</v>
      </c>
      <c r="CG12" s="203">
        <v>2.0</v>
      </c>
      <c r="CH12" s="203">
        <v>1.0</v>
      </c>
      <c r="CI12" s="203">
        <v>2.0</v>
      </c>
      <c r="CJ12" s="203">
        <v>3.0</v>
      </c>
      <c r="CK12" s="203">
        <v>2.0</v>
      </c>
      <c r="CL12" s="203">
        <v>3.0</v>
      </c>
      <c r="CM12" s="209">
        <v>1.0</v>
      </c>
      <c r="CN12" s="203">
        <v>1.0</v>
      </c>
      <c r="CO12" s="203">
        <v>1.0</v>
      </c>
    </row>
    <row r="13">
      <c r="A13" s="185" t="s">
        <v>757</v>
      </c>
      <c r="B13" s="185" t="s">
        <v>384</v>
      </c>
      <c r="C13" s="185" t="s">
        <v>404</v>
      </c>
      <c r="D13" s="185" t="s">
        <v>60</v>
      </c>
      <c r="E13" s="195" t="s">
        <v>781</v>
      </c>
      <c r="F13" s="196" t="str">
        <f t="shared" si="1"/>
        <v>RSSurveyDesign - Custom</v>
      </c>
      <c r="G13" s="196" t="str">
        <f>'Ad-Hoc | Design and Build'!$F19</f>
        <v>Custom quote for survey with over 100 questions or elements, email or other triggers built in, advanced coding (javascript, API calls, HTML, etc.), multiple surveys.</v>
      </c>
      <c r="H13" s="197"/>
      <c r="I13" s="191"/>
      <c r="J13" s="191" t="str">
        <f>'Ad-Hoc | Design and Build'!$F20</f>
        <v>Custom Quote</v>
      </c>
      <c r="K13" s="198"/>
      <c r="L13" s="198"/>
      <c r="M13" s="198"/>
      <c r="N13" s="198"/>
      <c r="O13" s="198"/>
      <c r="P13" s="198"/>
      <c r="Q13" s="198"/>
      <c r="R13" s="195" t="s">
        <v>764</v>
      </c>
      <c r="S13" s="200"/>
      <c r="T13" s="195" t="s">
        <v>783</v>
      </c>
      <c r="U13" s="195" t="s">
        <v>783</v>
      </c>
      <c r="V13" s="195" t="s">
        <v>783</v>
      </c>
      <c r="W13" s="201"/>
      <c r="X13" s="195"/>
      <c r="Y13" s="195"/>
      <c r="Z13" s="195"/>
      <c r="AA13" s="195">
        <f t="shared" si="4"/>
        <v>270</v>
      </c>
      <c r="AB13" s="202">
        <v>0.76</v>
      </c>
      <c r="AC13" s="203">
        <v>2.0</v>
      </c>
      <c r="AD13" s="203">
        <v>1.0</v>
      </c>
      <c r="AE13" s="195" t="s">
        <v>766</v>
      </c>
      <c r="AF13" s="195" t="s">
        <v>767</v>
      </c>
      <c r="AG13" s="195" t="s">
        <v>776</v>
      </c>
      <c r="AH13" s="204"/>
      <c r="AI13" s="204">
        <v>4.0</v>
      </c>
      <c r="AJ13" s="204"/>
      <c r="AK13" s="204"/>
      <c r="AL13" s="204"/>
      <c r="AM13" s="205"/>
      <c r="AN13" s="205">
        <f>(AH13*'Staff Rates (Internal)'!B$2)+(AI13*'Staff Rates (Internal)'!B$3)+(AJ13*'Staff Rates (Internal)'!B$4)+(AK13*'Staff Rates (Internal)'!B$5)+(AL13*'Staff Rates (Internal)'!B$6)+(AM13*'Staff Rates (Internal)'!B$7)</f>
        <v>270</v>
      </c>
      <c r="AO13" s="206">
        <f>(AH13*'Staff Rates (External)'!B$2)+(AI13*'Staff Rates (External)'!B$3)+(AJ13*'Staff Rates (External)'!B$4)+(AK13*'Staff Rates (External)'!B$5)+(AL13*'Staff Rates (External)'!B$6)+(AM13*'Staff Rates (External)'!B$7)</f>
        <v>1000</v>
      </c>
      <c r="AR13" s="195" t="s">
        <v>769</v>
      </c>
      <c r="AS13" s="195" t="s">
        <v>770</v>
      </c>
      <c r="AX13" s="204"/>
      <c r="AY13" s="204"/>
      <c r="AZ13" s="204"/>
      <c r="BA13" s="204" t="s">
        <v>765</v>
      </c>
      <c r="BB13" s="204"/>
      <c r="BC13" s="204"/>
      <c r="BD13" s="204"/>
      <c r="BE13" s="204" t="s">
        <v>765</v>
      </c>
      <c r="BF13" s="204"/>
      <c r="BG13" s="204"/>
      <c r="BH13" s="204"/>
      <c r="BI13" s="204" t="s">
        <v>765</v>
      </c>
      <c r="BJ13" s="204"/>
      <c r="BK13" s="204"/>
      <c r="BL13" s="204"/>
      <c r="BM13" s="204" t="s">
        <v>765</v>
      </c>
      <c r="BN13" s="204"/>
      <c r="BO13" s="204"/>
      <c r="BP13" s="204"/>
      <c r="BQ13" s="204"/>
      <c r="BR13" s="204"/>
      <c r="BS13" s="204"/>
      <c r="BT13" s="204"/>
      <c r="BU13" s="204"/>
      <c r="BV13" s="204"/>
      <c r="BW13" s="204"/>
      <c r="BX13" s="204"/>
      <c r="BY13" s="204"/>
      <c r="BZ13" s="204"/>
      <c r="CA13" s="204" t="s">
        <v>765</v>
      </c>
      <c r="CB13" s="207"/>
      <c r="CC13" s="208" t="str">
        <f t="shared" si="2"/>
        <v>Survey Design (without Build)</v>
      </c>
      <c r="CD13" s="208">
        <f t="shared" si="3"/>
        <v>1.636363636</v>
      </c>
      <c r="CE13" s="203">
        <v>1.0</v>
      </c>
      <c r="CF13" s="203">
        <v>1.0</v>
      </c>
      <c r="CG13" s="203">
        <v>2.0</v>
      </c>
      <c r="CH13" s="203">
        <v>1.0</v>
      </c>
      <c r="CI13" s="203">
        <v>2.0</v>
      </c>
      <c r="CJ13" s="203">
        <v>3.0</v>
      </c>
      <c r="CK13" s="203">
        <v>2.0</v>
      </c>
      <c r="CL13" s="203">
        <v>3.0</v>
      </c>
      <c r="CM13" s="209">
        <v>1.0</v>
      </c>
      <c r="CN13" s="203">
        <v>1.0</v>
      </c>
      <c r="CO13" s="203">
        <v>1.0</v>
      </c>
    </row>
    <row r="14">
      <c r="A14" s="185" t="s">
        <v>757</v>
      </c>
      <c r="B14" s="185" t="s">
        <v>384</v>
      </c>
      <c r="C14" s="185" t="s">
        <v>62</v>
      </c>
      <c r="D14" s="185" t="s">
        <v>56</v>
      </c>
      <c r="E14" s="195" t="s">
        <v>786</v>
      </c>
      <c r="F14" s="196" t="str">
        <f t="shared" si="1"/>
        <v>RSSurveyBuild - Standard</v>
      </c>
      <c r="G14" s="196" t="str">
        <f>'Ad-Hoc | Design and Build'!$C23</f>
        <v>Includes programming for:
1 survey in English
Up to 30 questions or elements (Embedded Data, hidden variables, individual statements in a matrix or similar format)
Light display and skip logic (less than 20% of survey)
Up to 5 image or video files, inserted 1-2 times each within the survey
Light survey flow logic (fewer than 10 survey flow elements such as randomizers and branches)
Does NOT include:
Manual implementation of customer-provided translations
Programming of typing tools
Custom scoring
Set up of quotas, redirects, panel connections, email messages, or distributions
Assumptions:
The customer is responsible for providing a fully written out questionnaire, including demographics and screener questions. Bullets or partially written questions will require design services and an additional cost.
The provided documentation includes all questions, response options, logic requirements, and validation instructions (items not specified are not guaranteed to be within project scope).
There will be no significant changes to the questionnaire or project requirements before or during the project. (Additional changes or significant back and forth may increase the cost and extend the timeline.)
After the Qualtrics test link is shared, the customer may request up to a total of 2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Estimated Timing: 3-5 business days after finalized questionnaire is provided</v>
      </c>
      <c r="H14" s="197" t="s">
        <v>787</v>
      </c>
      <c r="I14" s="191"/>
      <c r="J14" s="191">
        <f>'Ad-Hoc | Design and Build'!$C24</f>
        <v>2000</v>
      </c>
      <c r="K14" s="198"/>
      <c r="L14" s="198"/>
      <c r="M14" s="198"/>
      <c r="N14" s="198"/>
      <c r="O14" s="199" t="s">
        <v>761</v>
      </c>
      <c r="P14" s="199" t="s">
        <v>762</v>
      </c>
      <c r="Q14" s="199" t="s">
        <v>763</v>
      </c>
      <c r="R14" s="195" t="s">
        <v>764</v>
      </c>
      <c r="S14" s="200"/>
      <c r="T14" s="195" t="s">
        <v>765</v>
      </c>
      <c r="U14" s="195" t="s">
        <v>765</v>
      </c>
      <c r="V14" s="195" t="s">
        <v>765</v>
      </c>
      <c r="W14" s="201"/>
      <c r="X14" s="195"/>
      <c r="Y14" s="195"/>
      <c r="Z14" s="195"/>
      <c r="AA14" s="195">
        <f t="shared" si="4"/>
        <v>240</v>
      </c>
      <c r="AB14" s="202">
        <v>0.76</v>
      </c>
      <c r="AC14" s="203">
        <v>2.0</v>
      </c>
      <c r="AD14" s="203">
        <v>1.0</v>
      </c>
      <c r="AE14" s="195" t="s">
        <v>766</v>
      </c>
      <c r="AF14" s="195" t="s">
        <v>767</v>
      </c>
      <c r="AG14" s="195" t="s">
        <v>776</v>
      </c>
      <c r="AH14" s="204"/>
      <c r="AI14" s="204">
        <v>1.0</v>
      </c>
      <c r="AJ14" s="204">
        <v>4.0</v>
      </c>
      <c r="AK14" s="204"/>
      <c r="AL14" s="204"/>
      <c r="AM14" s="205"/>
      <c r="AN14" s="205">
        <f>(AH14*'Staff Rates (Internal)'!B$2)+(AI14*'Staff Rates (Internal)'!B$3)+(AJ14*'Staff Rates (Internal)'!B$4)+(AK14*'Staff Rates (Internal)'!B$5)+(AL14*'Staff Rates (Internal)'!B$6)+(AM14*'Staff Rates (Internal)'!B$7)</f>
        <v>235.5</v>
      </c>
      <c r="AO14" s="206">
        <f>(AH14*'Staff Rates (External)'!B$2)+(AI14*'Staff Rates (External)'!B$3)+(AJ14*'Staff Rates (External)'!B$4)+(AK14*'Staff Rates (External)'!B$5)+(AL14*'Staff Rates (External)'!B$6)+(AM14*'Staff Rates (External)'!B$7)</f>
        <v>1250</v>
      </c>
      <c r="AR14" s="195" t="s">
        <v>788</v>
      </c>
      <c r="AS14" s="195" t="s">
        <v>770</v>
      </c>
      <c r="AX14" s="204"/>
      <c r="AY14" s="204"/>
      <c r="AZ14" s="204"/>
      <c r="BA14" s="204"/>
      <c r="BB14" s="204"/>
      <c r="BC14" s="204"/>
      <c r="BD14" s="204"/>
      <c r="BE14" s="204"/>
      <c r="BF14" s="204"/>
      <c r="BG14" s="204"/>
      <c r="BH14" s="204"/>
      <c r="BI14" s="204"/>
      <c r="BJ14" s="204"/>
      <c r="BK14" s="204"/>
      <c r="BL14" s="204"/>
      <c r="BM14" s="204"/>
      <c r="BN14" s="204"/>
      <c r="BO14" s="204"/>
      <c r="BP14" s="204"/>
      <c r="BQ14" s="204"/>
      <c r="BR14" s="204"/>
      <c r="BS14" s="204"/>
      <c r="BT14" s="204"/>
      <c r="BU14" s="204"/>
      <c r="BV14" s="204"/>
      <c r="BW14" s="204"/>
      <c r="BX14" s="204"/>
      <c r="BY14" s="204"/>
      <c r="BZ14" s="204"/>
      <c r="CA14" s="204"/>
      <c r="CB14" s="207"/>
      <c r="CC14" s="208" t="str">
        <f t="shared" si="2"/>
        <v>Survey Build (without Design)</v>
      </c>
      <c r="CD14" s="208">
        <f t="shared" si="3"/>
        <v>2.181818182</v>
      </c>
      <c r="CE14" s="203">
        <v>3.0</v>
      </c>
      <c r="CF14" s="203">
        <v>3.0</v>
      </c>
      <c r="CG14" s="203">
        <v>2.0</v>
      </c>
      <c r="CH14" s="203">
        <v>3.0</v>
      </c>
      <c r="CI14" s="203">
        <v>2.0</v>
      </c>
      <c r="CJ14" s="203">
        <v>3.0</v>
      </c>
      <c r="CK14" s="203">
        <v>2.0</v>
      </c>
      <c r="CL14" s="203">
        <v>3.0</v>
      </c>
      <c r="CM14" s="209">
        <v>1.0</v>
      </c>
      <c r="CN14" s="203">
        <v>1.0</v>
      </c>
      <c r="CO14" s="203">
        <v>1.0</v>
      </c>
    </row>
    <row r="15">
      <c r="A15" s="185" t="s">
        <v>757</v>
      </c>
      <c r="B15" s="185" t="s">
        <v>384</v>
      </c>
      <c r="C15" s="185" t="s">
        <v>62</v>
      </c>
      <c r="D15" s="185" t="s">
        <v>58</v>
      </c>
      <c r="E15" s="195" t="s">
        <v>786</v>
      </c>
      <c r="F15" s="196" t="str">
        <f t="shared" si="1"/>
        <v>RSSurveyBuild - Standard Plus</v>
      </c>
      <c r="G15" s="196" t="str">
        <f>'Ad-Hoc | Design and Build'!$D23</f>
        <v>Includes programming for:
1 survey in English
Up to 60 questions or elements (Embedded Data, hidden variables, individual statements in a matrix or similar format)
Moderate display and skip logic (less than 50%)
Up to 10 image or video files, inserted 1-2 times each within the survey
Moderate survey flow logic (fewer than 50 survey flow elements such as randomizers and branches)
Does NOT include:
Manual implementation of customer-provided translations
Programming of typing tools
Custom scoring
Set up of quotas, redirects, panel connections, email messages, or distributions
Assumptions:
The customer is responsible for providing a fully written out questionnaire, including demographics and screener questions. Bullets or partially written questions will require design services and an additional cost.
The provided documentation includes all questions, response options, logic requirements, and validation instructions (items not specified are not guaranteed to be within project scope).
There will be no significant changes to the questionnaire or project requirements before or during the project. (Additional changes or significant back and forth may increase the cost and extend the timeline.)
After the Qualtrics test link is shared, the customer may request up to a total of 3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Estimated Timing: 5-7 business days after finalized questionnaire is provided</v>
      </c>
      <c r="H15" s="197" t="s">
        <v>789</v>
      </c>
      <c r="I15" s="191"/>
      <c r="J15" s="190" t="s">
        <v>790</v>
      </c>
      <c r="K15" s="198"/>
      <c r="L15" s="198"/>
      <c r="M15" s="198"/>
      <c r="N15" s="198"/>
      <c r="O15" s="199" t="s">
        <v>761</v>
      </c>
      <c r="P15" s="199" t="s">
        <v>762</v>
      </c>
      <c r="Q15" s="199" t="s">
        <v>763</v>
      </c>
      <c r="R15" s="195" t="s">
        <v>764</v>
      </c>
      <c r="S15" s="200"/>
      <c r="T15" s="195" t="s">
        <v>765</v>
      </c>
      <c r="U15" s="195" t="s">
        <v>765</v>
      </c>
      <c r="V15" s="195" t="s">
        <v>765</v>
      </c>
      <c r="W15" s="201"/>
      <c r="X15" s="195"/>
      <c r="Y15" s="195"/>
      <c r="Z15" s="195"/>
      <c r="AA15" s="195">
        <f t="shared" si="4"/>
        <v>630</v>
      </c>
      <c r="AB15" s="202">
        <v>0.76</v>
      </c>
      <c r="AC15" s="203">
        <v>2.0</v>
      </c>
      <c r="AD15" s="203">
        <v>1.0</v>
      </c>
      <c r="AE15" s="195" t="s">
        <v>766</v>
      </c>
      <c r="AF15" s="195" t="s">
        <v>767</v>
      </c>
      <c r="AG15" s="195" t="s">
        <v>776</v>
      </c>
      <c r="AH15" s="204"/>
      <c r="AI15" s="204">
        <v>2.0</v>
      </c>
      <c r="AJ15" s="204">
        <v>2.0</v>
      </c>
      <c r="AK15" s="204">
        <v>6.0</v>
      </c>
      <c r="AL15" s="204"/>
      <c r="AM15" s="205"/>
      <c r="AN15" s="205">
        <f>(AH15*'Staff Rates (Internal)'!B$2)+(AI15*'Staff Rates (Internal)'!B$3)+(AJ15*'Staff Rates (Internal)'!B$4)+(AK15*'Staff Rates (Internal)'!B$5)+(AL15*'Staff Rates (Internal)'!B$6)+(AM15*'Staff Rates (Internal)'!B$7)</f>
        <v>624</v>
      </c>
      <c r="AO15" s="206">
        <f>(AH15*'Staff Rates (External)'!B$2)+(AI15*'Staff Rates (External)'!B$3)+(AJ15*'Staff Rates (External)'!B$4)+(AK15*'Staff Rates (External)'!B$5)+(AL15*'Staff Rates (External)'!B$6)+(AM15*'Staff Rates (External)'!B$7)</f>
        <v>2500</v>
      </c>
      <c r="AR15" s="195" t="s">
        <v>788</v>
      </c>
      <c r="AS15" s="195" t="s">
        <v>770</v>
      </c>
      <c r="AX15" s="204"/>
      <c r="AY15" s="204"/>
      <c r="AZ15" s="204"/>
      <c r="BA15" s="204"/>
      <c r="BB15" s="204"/>
      <c r="BC15" s="204"/>
      <c r="BD15" s="204"/>
      <c r="BE15" s="204"/>
      <c r="BF15" s="204"/>
      <c r="BG15" s="204"/>
      <c r="BH15" s="204"/>
      <c r="BI15" s="204"/>
      <c r="BJ15" s="204"/>
      <c r="BK15" s="204"/>
      <c r="BL15" s="204"/>
      <c r="BM15" s="204"/>
      <c r="BN15" s="204"/>
      <c r="BO15" s="204"/>
      <c r="BP15" s="204"/>
      <c r="BQ15" s="204"/>
      <c r="BR15" s="204"/>
      <c r="BS15" s="204"/>
      <c r="BT15" s="204"/>
      <c r="BU15" s="204"/>
      <c r="BV15" s="204"/>
      <c r="BW15" s="204"/>
      <c r="BX15" s="204"/>
      <c r="BY15" s="204"/>
      <c r="BZ15" s="204"/>
      <c r="CA15" s="204"/>
      <c r="CB15" s="207"/>
      <c r="CC15" s="208" t="str">
        <f t="shared" si="2"/>
        <v>Survey Build (without Design)</v>
      </c>
      <c r="CD15" s="208">
        <f t="shared" si="3"/>
        <v>2.272727273</v>
      </c>
      <c r="CE15" s="203">
        <v>3.0</v>
      </c>
      <c r="CF15" s="203">
        <v>3.0</v>
      </c>
      <c r="CG15" s="203">
        <v>3.0</v>
      </c>
      <c r="CH15" s="203">
        <v>3.0</v>
      </c>
      <c r="CI15" s="203">
        <v>2.0</v>
      </c>
      <c r="CJ15" s="203">
        <v>3.0</v>
      </c>
      <c r="CK15" s="203">
        <v>2.0</v>
      </c>
      <c r="CL15" s="203">
        <v>3.0</v>
      </c>
      <c r="CM15" s="209">
        <v>1.0</v>
      </c>
      <c r="CN15" s="203">
        <v>1.0</v>
      </c>
      <c r="CO15" s="203">
        <v>1.0</v>
      </c>
    </row>
    <row r="16">
      <c r="A16" s="185" t="s">
        <v>757</v>
      </c>
      <c r="B16" s="185" t="s">
        <v>384</v>
      </c>
      <c r="C16" s="185" t="s">
        <v>62</v>
      </c>
      <c r="D16" s="185" t="s">
        <v>59</v>
      </c>
      <c r="E16" s="195" t="s">
        <v>786</v>
      </c>
      <c r="F16" s="196" t="str">
        <f t="shared" si="1"/>
        <v>RSSurveyBuild - Advanced</v>
      </c>
      <c r="G16" s="196" t="str">
        <f>'Ad-Hoc | Design and Build'!$E23</f>
        <v>Includes programming for:
1 survey in English
Up to 100 questions or elements (Embedded Data, hidden variables, individual statements in a matrix or similar format)
Moderate display and skip logic (less than 50%)
Up to 12 image or video files, inserted 1-2 times each within the survey
Heavy survey flow logic (fewer than 100 survey flow elements such as randomizers and branches)
Does NOT include:
Manual implementation of customer-provided translations
Programming of typing tools
Custom scoring
Set up of quotas, redirects, panel connections, email messages, or distributions
Assumptions:
The customer is responsible for providing a fully written out questionnaire, including demographics and screener questions. Bullets or partially written questions will require design services and an additional cost.
The provided documentation includes all questions, response options, logic requirements, and validation instructions (items not specified are not guaranteed to be within project scope).
There will be no significant changes to the questionnaire or project requirements before or during the project. (Additional changes or significant back and forth may increase the cost and extend the timeline.)
After the Qualtrics test link is shared, the customer may request up to a total of 4 hours of additional programming changes (new wording, logic, etc.). Changes after this point will require additional scoping and fees. All corrections (programmer errors) will be addressed and do not count toward these programming hours.
Only existing platform functionality will be used. Requests that are outside of platform functionality or require custom coding may require additional scoping and cost.
The customer is responsible for providing any images or video files required in the correct format, resolution, dimensions, and file size. Qualtrics will not source or modify any files.
Estimated Timing: 7-10 business days after finalized questionnaire is provided</v>
      </c>
      <c r="H16" s="197" t="s">
        <v>791</v>
      </c>
      <c r="I16" s="190" t="s">
        <v>792</v>
      </c>
      <c r="J16" s="191">
        <f>'Ad-Hoc | Design and Build'!$E24</f>
        <v>6000</v>
      </c>
      <c r="K16" s="198"/>
      <c r="L16" s="198"/>
      <c r="M16" s="198"/>
      <c r="N16" s="198"/>
      <c r="O16" s="199" t="s">
        <v>761</v>
      </c>
      <c r="P16" s="199" t="s">
        <v>762</v>
      </c>
      <c r="Q16" s="199" t="s">
        <v>793</v>
      </c>
      <c r="R16" s="195" t="s">
        <v>764</v>
      </c>
      <c r="S16" s="200"/>
      <c r="T16" s="195" t="s">
        <v>765</v>
      </c>
      <c r="U16" s="195" t="s">
        <v>765</v>
      </c>
      <c r="V16" s="195" t="s">
        <v>765</v>
      </c>
      <c r="W16" s="201"/>
      <c r="Y16" s="195"/>
      <c r="Z16" s="195"/>
      <c r="AA16" s="195">
        <f t="shared" si="4"/>
        <v>1690</v>
      </c>
      <c r="AB16" s="202">
        <v>0.76</v>
      </c>
      <c r="AC16" s="203">
        <v>2.0</v>
      </c>
      <c r="AD16" s="203">
        <v>1.0</v>
      </c>
      <c r="AE16" s="195" t="s">
        <v>766</v>
      </c>
      <c r="AF16" s="195" t="s">
        <v>767</v>
      </c>
      <c r="AG16" s="195" t="s">
        <v>776</v>
      </c>
      <c r="AH16" s="204"/>
      <c r="AI16" s="204">
        <v>4.0</v>
      </c>
      <c r="AJ16" s="204">
        <v>8.0</v>
      </c>
      <c r="AK16" s="204">
        <v>16.0</v>
      </c>
      <c r="AL16" s="204"/>
      <c r="AM16" s="205"/>
      <c r="AN16" s="205">
        <f>(AH16*'Staff Rates (Internal)'!B$2)+(AI16*'Staff Rates (Internal)'!B$3)+(AJ16*'Staff Rates (Internal)'!B$4)+(AK16*'Staff Rates (Internal)'!B$5)+(AL16*'Staff Rates (Internal)'!B$6)+(AM16*'Staff Rates (Internal)'!B$7)</f>
        <v>1686</v>
      </c>
      <c r="AO16" s="206">
        <f>(AH16*'Staff Rates (External)'!B$2)+(AI16*'Staff Rates (External)'!B$3)+(AJ16*'Staff Rates (External)'!B$4)+(AK16*'Staff Rates (External)'!B$5)+(AL16*'Staff Rates (External)'!B$6)+(AM16*'Staff Rates (External)'!B$7)</f>
        <v>7000</v>
      </c>
      <c r="AR16" s="195" t="s">
        <v>788</v>
      </c>
      <c r="AS16" s="195" t="s">
        <v>770</v>
      </c>
      <c r="AX16" s="204"/>
      <c r="AY16" s="204"/>
      <c r="AZ16" s="204"/>
      <c r="BA16" s="204"/>
      <c r="BB16" s="204"/>
      <c r="BC16" s="204"/>
      <c r="BD16" s="204"/>
      <c r="BE16" s="204"/>
      <c r="BF16" s="204"/>
      <c r="BG16" s="204"/>
      <c r="BH16" s="204"/>
      <c r="BI16" s="204"/>
      <c r="BJ16" s="204"/>
      <c r="BK16" s="204"/>
      <c r="BL16" s="204"/>
      <c r="BM16" s="204"/>
      <c r="BN16" s="204"/>
      <c r="BO16" s="204"/>
      <c r="BP16" s="204"/>
      <c r="BQ16" s="204"/>
      <c r="BR16" s="204"/>
      <c r="BS16" s="204"/>
      <c r="BT16" s="204"/>
      <c r="BU16" s="204"/>
      <c r="BV16" s="204"/>
      <c r="BW16" s="204"/>
      <c r="BX16" s="204"/>
      <c r="BY16" s="204"/>
      <c r="BZ16" s="204"/>
      <c r="CA16" s="204"/>
      <c r="CB16" s="207"/>
      <c r="CC16" s="208" t="str">
        <f t="shared" si="2"/>
        <v>Survey Build (without Design)</v>
      </c>
      <c r="CD16" s="208">
        <f t="shared" si="3"/>
        <v>2.272727273</v>
      </c>
      <c r="CE16" s="203">
        <v>3.0</v>
      </c>
      <c r="CF16" s="203">
        <v>3.0</v>
      </c>
      <c r="CG16" s="203">
        <v>3.0</v>
      </c>
      <c r="CH16" s="203">
        <v>3.0</v>
      </c>
      <c r="CI16" s="203">
        <v>2.0</v>
      </c>
      <c r="CJ16" s="203">
        <v>3.0</v>
      </c>
      <c r="CK16" s="203">
        <v>2.0</v>
      </c>
      <c r="CL16" s="203">
        <v>3.0</v>
      </c>
      <c r="CM16" s="209">
        <v>1.0</v>
      </c>
      <c r="CN16" s="203">
        <v>1.0</v>
      </c>
      <c r="CO16" s="203">
        <v>1.0</v>
      </c>
    </row>
    <row r="17" ht="78.0" customHeight="1">
      <c r="A17" s="185" t="s">
        <v>757</v>
      </c>
      <c r="B17" s="185" t="s">
        <v>384</v>
      </c>
      <c r="C17" s="185" t="s">
        <v>62</v>
      </c>
      <c r="D17" s="185" t="s">
        <v>60</v>
      </c>
      <c r="E17" s="195" t="s">
        <v>786</v>
      </c>
      <c r="F17" s="196" t="str">
        <f t="shared" si="1"/>
        <v>RSSurveyBuild - Custom</v>
      </c>
      <c r="G17" s="196" t="str">
        <f>'Ad-Hoc | Design and Build'!$F23</f>
        <v>Custom quote for survey with over 100 questions or elements, email or other triggers built in, advanced coding (javascript, API calls, etc.), multiple surveys.</v>
      </c>
      <c r="H17" s="197"/>
      <c r="I17" s="191"/>
      <c r="J17" s="191" t="str">
        <f>'Ad-Hoc | Design and Build'!$F24</f>
        <v>Custom Quote</v>
      </c>
      <c r="K17" s="198"/>
      <c r="L17" s="198"/>
      <c r="M17" s="198"/>
      <c r="N17" s="198"/>
      <c r="O17" s="198"/>
      <c r="P17" s="198"/>
      <c r="Q17" s="198"/>
      <c r="R17" s="195" t="s">
        <v>764</v>
      </c>
      <c r="S17" s="200"/>
      <c r="T17" s="195" t="s">
        <v>765</v>
      </c>
      <c r="U17" s="195" t="s">
        <v>765</v>
      </c>
      <c r="V17" s="195" t="s">
        <v>765</v>
      </c>
      <c r="W17" s="201"/>
      <c r="X17" s="195"/>
      <c r="Y17" s="195"/>
      <c r="Z17" s="202"/>
      <c r="AB17" s="202"/>
      <c r="AC17" s="203">
        <v>2.0</v>
      </c>
      <c r="AD17" s="203">
        <v>1.0</v>
      </c>
      <c r="AE17" s="195" t="s">
        <v>766</v>
      </c>
      <c r="AF17" s="195" t="s">
        <v>767</v>
      </c>
      <c r="AG17" s="195" t="s">
        <v>776</v>
      </c>
      <c r="AH17" s="204"/>
      <c r="AI17" s="204">
        <v>4.0</v>
      </c>
      <c r="AJ17" s="204"/>
      <c r="AK17" s="204"/>
      <c r="AL17" s="204"/>
      <c r="AM17" s="205"/>
      <c r="AN17" s="205">
        <f>(AH17*'Staff Rates (Internal)'!B$2)+(AI17*'Staff Rates (Internal)'!B$3)+(AJ17*'Staff Rates (Internal)'!B$4)+(AK17*'Staff Rates (Internal)'!B$5)+(AL17*'Staff Rates (Internal)'!B$6)+(AM17*'Staff Rates (Internal)'!B$7)</f>
        <v>270</v>
      </c>
      <c r="AO17" s="206">
        <f>(AH17*'Staff Rates (External)'!B$2)+(AI17*'Staff Rates (External)'!B$3)+(AJ17*'Staff Rates (External)'!B$4)+(AK17*'Staff Rates (External)'!B$5)+(AL17*'Staff Rates (External)'!B$6)+(AM17*'Staff Rates (External)'!B$7)</f>
        <v>1000</v>
      </c>
      <c r="AR17" s="195" t="s">
        <v>788</v>
      </c>
      <c r="AS17" s="195" t="s">
        <v>770</v>
      </c>
      <c r="AX17" s="204"/>
      <c r="AY17" s="204"/>
      <c r="AZ17" s="204"/>
      <c r="BA17" s="204"/>
      <c r="BB17" s="204"/>
      <c r="BC17" s="204"/>
      <c r="BD17" s="204"/>
      <c r="BE17" s="204"/>
      <c r="BF17" s="204"/>
      <c r="BG17" s="204"/>
      <c r="BH17" s="204"/>
      <c r="BI17" s="204"/>
      <c r="BJ17" s="204"/>
      <c r="BK17" s="204"/>
      <c r="BL17" s="204"/>
      <c r="BM17" s="204"/>
      <c r="BN17" s="204"/>
      <c r="BO17" s="204"/>
      <c r="BP17" s="204"/>
      <c r="BQ17" s="204"/>
      <c r="BR17" s="204"/>
      <c r="BS17" s="204"/>
      <c r="BT17" s="204"/>
      <c r="BU17" s="204"/>
      <c r="BV17" s="204"/>
      <c r="BW17" s="204"/>
      <c r="BX17" s="204"/>
      <c r="BY17" s="204"/>
      <c r="BZ17" s="204"/>
      <c r="CA17" s="204"/>
      <c r="CB17" s="207"/>
      <c r="CC17" s="208" t="str">
        <f t="shared" si="2"/>
        <v>Survey Build (without Design)</v>
      </c>
      <c r="CD17" s="208">
        <f t="shared" si="3"/>
        <v>1.909090909</v>
      </c>
      <c r="CE17" s="203">
        <v>1.0</v>
      </c>
      <c r="CF17" s="203">
        <v>1.0</v>
      </c>
      <c r="CG17" s="203">
        <v>3.0</v>
      </c>
      <c r="CH17" s="203">
        <v>3.0</v>
      </c>
      <c r="CI17" s="203">
        <v>2.0</v>
      </c>
      <c r="CJ17" s="203">
        <v>3.0</v>
      </c>
      <c r="CK17" s="203">
        <v>2.0</v>
      </c>
      <c r="CL17" s="203">
        <v>3.0</v>
      </c>
      <c r="CM17" s="209">
        <v>1.0</v>
      </c>
      <c r="CN17" s="203">
        <v>1.0</v>
      </c>
      <c r="CO17" s="203">
        <v>1.0</v>
      </c>
    </row>
    <row r="18">
      <c r="A18" s="185" t="s">
        <v>757</v>
      </c>
      <c r="B18" s="185" t="s">
        <v>384</v>
      </c>
      <c r="C18" s="185" t="s">
        <v>63</v>
      </c>
      <c r="D18" s="185" t="s">
        <v>56</v>
      </c>
      <c r="E18" s="195" t="s">
        <v>794</v>
      </c>
      <c r="F18" s="196" t="str">
        <f t="shared" si="1"/>
        <v>RServTransFE - Standard</v>
      </c>
      <c r="G18" s="196" t="str">
        <f>'Ad-Hoc | Design and Build'!$C27</f>
        <v>Anglicization (per word) and no link check.
Tier 1 Languages:
UK English
Assumptions:
English is the source language.</v>
      </c>
      <c r="H18" s="197" t="s">
        <v>795</v>
      </c>
      <c r="I18" s="191"/>
      <c r="J18" s="191" t="str">
        <f>'Ad-Hoc | Design and Build'!$C28</f>
        <v>$0.14/word</v>
      </c>
      <c r="K18" s="198"/>
      <c r="L18" s="198"/>
      <c r="M18" s="198"/>
      <c r="N18" s="198"/>
      <c r="O18" s="199" t="s">
        <v>796</v>
      </c>
      <c r="P18" s="199" t="s">
        <v>797</v>
      </c>
      <c r="Q18" s="211" t="s">
        <v>798</v>
      </c>
      <c r="R18" s="195" t="s">
        <v>799</v>
      </c>
      <c r="S18" s="200"/>
      <c r="T18" s="195" t="s">
        <v>765</v>
      </c>
      <c r="U18" s="195" t="s">
        <v>765</v>
      </c>
      <c r="V18" s="195" t="s">
        <v>765</v>
      </c>
      <c r="W18" s="201"/>
      <c r="X18" s="213">
        <v>0.055</v>
      </c>
      <c r="Y18" s="195" t="s">
        <v>799</v>
      </c>
      <c r="Z18" s="202"/>
      <c r="AA18" s="202"/>
      <c r="AB18" s="202">
        <v>0.6</v>
      </c>
      <c r="AC18" s="203">
        <v>0.0</v>
      </c>
      <c r="AD18" s="203">
        <v>1.0</v>
      </c>
      <c r="AE18" s="195" t="s">
        <v>800</v>
      </c>
      <c r="AF18" s="195" t="s">
        <v>768</v>
      </c>
      <c r="AG18" s="195" t="s">
        <v>108</v>
      </c>
      <c r="AH18" s="204">
        <v>0.75</v>
      </c>
      <c r="AI18" s="204">
        <v>0.5</v>
      </c>
      <c r="AJ18" s="204"/>
      <c r="AK18" s="204"/>
      <c r="AL18" s="204"/>
      <c r="AM18" s="205"/>
      <c r="AN18" s="205">
        <f>(AH18*'Staff Rates (Internal)'!B$2)+(AI18*'Staff Rates (Internal)'!B$3)+(AJ18*'Staff Rates (Internal)'!B$4)+(AK18*'Staff Rates (Internal)'!B$5)+(AL18*'Staff Rates (Internal)'!B$6)+(AM18*'Staff Rates (Internal)'!B$7)</f>
        <v>65.25</v>
      </c>
      <c r="AO18" s="206">
        <f>(AH18*'Staff Rates (External)'!B$2)+(AI18*'Staff Rates (External)'!B$3)+(AJ18*'Staff Rates (External)'!B$4)+(AK18*'Staff Rates (External)'!B$5)+(AL18*'Staff Rates (External)'!B$6)+(AM18*'Staff Rates (External)'!B$7)</f>
        <v>312.5</v>
      </c>
      <c r="AR18" s="195" t="s">
        <v>801</v>
      </c>
      <c r="AS18" s="195" t="s">
        <v>802</v>
      </c>
      <c r="AX18" s="204" t="s">
        <v>783</v>
      </c>
      <c r="AY18" s="204" t="s">
        <v>783</v>
      </c>
      <c r="AZ18" s="204" t="s">
        <v>783</v>
      </c>
      <c r="BA18" s="204"/>
      <c r="BB18" s="204" t="s">
        <v>783</v>
      </c>
      <c r="BC18" s="204" t="s">
        <v>783</v>
      </c>
      <c r="BD18" s="204" t="s">
        <v>783</v>
      </c>
      <c r="BE18" s="204"/>
      <c r="BF18" s="204" t="s">
        <v>783</v>
      </c>
      <c r="BG18" s="204" t="s">
        <v>783</v>
      </c>
      <c r="BH18" s="204" t="s">
        <v>783</v>
      </c>
      <c r="BI18" s="204"/>
      <c r="BJ18" s="204" t="s">
        <v>783</v>
      </c>
      <c r="BK18" s="204" t="s">
        <v>783</v>
      </c>
      <c r="BL18" s="204" t="s">
        <v>783</v>
      </c>
      <c r="BM18" s="204" t="s">
        <v>783</v>
      </c>
      <c r="BN18" s="204" t="s">
        <v>783</v>
      </c>
      <c r="BO18" s="204" t="s">
        <v>783</v>
      </c>
      <c r="BP18" s="204" t="s">
        <v>783</v>
      </c>
      <c r="BQ18" s="204" t="s">
        <v>783</v>
      </c>
      <c r="BR18" s="204" t="s">
        <v>783</v>
      </c>
      <c r="BS18" s="204" t="s">
        <v>783</v>
      </c>
      <c r="BT18" s="204" t="s">
        <v>783</v>
      </c>
      <c r="BU18" s="204" t="s">
        <v>783</v>
      </c>
      <c r="BV18" s="204" t="s">
        <v>783</v>
      </c>
      <c r="BW18" s="204" t="s">
        <v>783</v>
      </c>
      <c r="BX18" s="204" t="s">
        <v>783</v>
      </c>
      <c r="BY18" s="204" t="s">
        <v>783</v>
      </c>
      <c r="BZ18" s="204" t="s">
        <v>783</v>
      </c>
      <c r="CA18" s="204" t="s">
        <v>783</v>
      </c>
      <c r="CB18" s="207"/>
      <c r="CC18" s="208" t="str">
        <f t="shared" si="2"/>
        <v>Translation (front-end)</v>
      </c>
      <c r="CD18" s="208">
        <f t="shared" si="3"/>
        <v>2.181818182</v>
      </c>
      <c r="CE18" s="203">
        <v>3.0</v>
      </c>
      <c r="CF18" s="203">
        <v>3.0</v>
      </c>
      <c r="CG18" s="203">
        <v>3.0</v>
      </c>
      <c r="CH18" s="203">
        <v>2.0</v>
      </c>
      <c r="CI18" s="203">
        <v>2.0</v>
      </c>
      <c r="CJ18" s="203">
        <v>2.0</v>
      </c>
      <c r="CK18" s="203">
        <v>3.0</v>
      </c>
      <c r="CL18" s="203">
        <v>3.0</v>
      </c>
      <c r="CM18" s="209">
        <v>1.0</v>
      </c>
      <c r="CN18" s="203">
        <v>1.0</v>
      </c>
      <c r="CO18" s="203">
        <v>1.0</v>
      </c>
    </row>
    <row r="19">
      <c r="A19" s="185" t="s">
        <v>757</v>
      </c>
      <c r="B19" s="185" t="s">
        <v>384</v>
      </c>
      <c r="C19" s="185" t="s">
        <v>63</v>
      </c>
      <c r="D19" s="185" t="s">
        <v>58</v>
      </c>
      <c r="E19" s="195" t="s">
        <v>794</v>
      </c>
      <c r="F19" s="196" t="str">
        <f t="shared" si="1"/>
        <v>RServTransFE - Standard Plus</v>
      </c>
      <c r="G19" s="196" t="str">
        <f>'Ad-Hoc | Design and Build'!$D27</f>
        <v>Translation per word and link check for the languages below
Tier 2 Languages:
Chinese Simplified
Chinese Traditional
Czech
French CA
French EU
French-CA
German
Greek
Hungarian
Italian
Polish
Portuguese (BZ)
Portuguese (EU) 
Russian
Slovak
Slovenian
Spanish (EU)
Spanish Mexican
Spanish Universal
Assumptions:
English is the source language.</v>
      </c>
      <c r="H19" s="197" t="s">
        <v>795</v>
      </c>
      <c r="I19" s="191"/>
      <c r="J19" s="191" t="str">
        <f>'Ad-Hoc | Design and Build'!$D28</f>
        <v>$0.53/word + $125 per 2500 words (or parts thereof)</v>
      </c>
      <c r="K19" s="198"/>
      <c r="L19" s="198"/>
      <c r="M19" s="198"/>
      <c r="N19" s="198"/>
      <c r="O19" s="199" t="s">
        <v>796</v>
      </c>
      <c r="P19" s="199" t="s">
        <v>797</v>
      </c>
      <c r="Q19" s="199" t="s">
        <v>793</v>
      </c>
      <c r="R19" s="195" t="s">
        <v>799</v>
      </c>
      <c r="S19" s="185" t="s">
        <v>803</v>
      </c>
      <c r="T19" s="195" t="s">
        <v>765</v>
      </c>
      <c r="U19" s="195" t="s">
        <v>765</v>
      </c>
      <c r="V19" s="195" t="s">
        <v>765</v>
      </c>
      <c r="W19" s="201"/>
      <c r="X19" s="213">
        <v>0.21</v>
      </c>
      <c r="Y19" s="195" t="s">
        <v>799</v>
      </c>
      <c r="Z19" s="202"/>
      <c r="AA19" s="202"/>
      <c r="AB19" s="202">
        <v>0.6</v>
      </c>
      <c r="AC19" s="203">
        <v>0.0</v>
      </c>
      <c r="AD19" s="203">
        <v>1.0</v>
      </c>
      <c r="AE19" s="195" t="s">
        <v>800</v>
      </c>
      <c r="AF19" s="195" t="s">
        <v>768</v>
      </c>
      <c r="AG19" s="195" t="s">
        <v>108</v>
      </c>
      <c r="AH19" s="204">
        <v>0.75</v>
      </c>
      <c r="AI19" s="204">
        <v>0.5</v>
      </c>
      <c r="AJ19" s="204"/>
      <c r="AK19" s="204"/>
      <c r="AL19" s="204"/>
      <c r="AM19" s="205"/>
      <c r="AN19" s="205">
        <f>(AH19*'Staff Rates (Internal)'!B$2)+(AI19*'Staff Rates (Internal)'!B$3)+(AJ19*'Staff Rates (Internal)'!B$4)+(AK19*'Staff Rates (Internal)'!B$5)+(AL19*'Staff Rates (Internal)'!B$6)+(AM19*'Staff Rates (Internal)'!B$7)</f>
        <v>65.25</v>
      </c>
      <c r="AO19" s="206">
        <f>(AH19*'Staff Rates (External)'!B$2)+(AI19*'Staff Rates (External)'!B$3)+(AJ19*'Staff Rates (External)'!B$4)+(AK19*'Staff Rates (External)'!B$5)+(AL19*'Staff Rates (External)'!B$6)+(AM19*'Staff Rates (External)'!B$7)</f>
        <v>312.5</v>
      </c>
      <c r="AR19" s="195" t="s">
        <v>801</v>
      </c>
      <c r="AS19" s="195" t="s">
        <v>802</v>
      </c>
      <c r="AX19" s="204"/>
      <c r="AY19" s="204"/>
      <c r="AZ19" s="204"/>
      <c r="BA19" s="204"/>
      <c r="BB19" s="204"/>
      <c r="BC19" s="204"/>
      <c r="BD19" s="204"/>
      <c r="BE19" s="204"/>
      <c r="BF19" s="204"/>
      <c r="BG19" s="204"/>
      <c r="BH19" s="204"/>
      <c r="BI19" s="204"/>
      <c r="BJ19" s="204"/>
      <c r="BK19" s="204"/>
      <c r="BL19" s="204"/>
      <c r="BM19" s="204"/>
      <c r="BN19" s="204"/>
      <c r="BO19" s="204"/>
      <c r="BP19" s="204"/>
      <c r="BQ19" s="204"/>
      <c r="BR19" s="204"/>
      <c r="BS19" s="204"/>
      <c r="BT19" s="204"/>
      <c r="BU19" s="204"/>
      <c r="BV19" s="204"/>
      <c r="BW19" s="204"/>
      <c r="BX19" s="204"/>
      <c r="BY19" s="204"/>
      <c r="BZ19" s="204"/>
      <c r="CA19" s="204"/>
      <c r="CB19" s="207"/>
      <c r="CC19" s="208" t="str">
        <f t="shared" si="2"/>
        <v>Translation (front-end)</v>
      </c>
      <c r="CD19" s="208">
        <f t="shared" si="3"/>
        <v>2.181818182</v>
      </c>
      <c r="CE19" s="203">
        <v>3.0</v>
      </c>
      <c r="CF19" s="203">
        <v>3.0</v>
      </c>
      <c r="CG19" s="203">
        <v>3.0</v>
      </c>
      <c r="CH19" s="203">
        <v>2.0</v>
      </c>
      <c r="CI19" s="203">
        <v>2.0</v>
      </c>
      <c r="CJ19" s="203">
        <v>2.0</v>
      </c>
      <c r="CK19" s="203">
        <v>3.0</v>
      </c>
      <c r="CL19" s="203">
        <v>3.0</v>
      </c>
      <c r="CM19" s="209">
        <v>1.0</v>
      </c>
      <c r="CN19" s="203">
        <v>1.0</v>
      </c>
      <c r="CO19" s="203">
        <v>1.0</v>
      </c>
    </row>
    <row r="20">
      <c r="A20" s="185" t="s">
        <v>757</v>
      </c>
      <c r="B20" s="185" t="s">
        <v>384</v>
      </c>
      <c r="C20" s="185" t="s">
        <v>63</v>
      </c>
      <c r="D20" s="185" t="s">
        <v>59</v>
      </c>
      <c r="E20" s="195" t="s">
        <v>794</v>
      </c>
      <c r="F20" s="196" t="str">
        <f t="shared" si="1"/>
        <v>RServTransFE - Advanced</v>
      </c>
      <c r="G20" s="196" t="str">
        <f>'Ad-Hoc | Design and Build'!$E27</f>
        <v>Translation per word and link check for the languages below
Tier 3 Languages:
All other languages not in Tier 1 or Tier 2. Some more common ones include:
Arabic
Croatian
Danish
Dutch
Filipino
Hebrew
Hindi
Indonesian
Japanese 
Norwegian
Thai
Turkish
Urdu
Vietnamese
Assumptions:
English is the source language.</v>
      </c>
      <c r="H20" s="197" t="s">
        <v>795</v>
      </c>
      <c r="I20" s="191"/>
      <c r="J20" s="191" t="str">
        <f>'Ad-Hoc | Design and Build'!$E28</f>
        <v>$0.63/word + $150 per 2500 words (or parts thereof)</v>
      </c>
      <c r="K20" s="198"/>
      <c r="L20" s="198"/>
      <c r="M20" s="198"/>
      <c r="N20" s="198"/>
      <c r="O20" s="199" t="s">
        <v>796</v>
      </c>
      <c r="P20" s="199" t="s">
        <v>797</v>
      </c>
      <c r="Q20" s="211" t="s">
        <v>804</v>
      </c>
      <c r="R20" s="195" t="s">
        <v>799</v>
      </c>
      <c r="S20" s="185" t="s">
        <v>805</v>
      </c>
      <c r="T20" s="195" t="s">
        <v>765</v>
      </c>
      <c r="U20" s="195" t="s">
        <v>765</v>
      </c>
      <c r="V20" s="195" t="s">
        <v>765</v>
      </c>
      <c r="W20" s="201"/>
      <c r="X20" s="213">
        <v>0.25</v>
      </c>
      <c r="Y20" s="195" t="s">
        <v>799</v>
      </c>
      <c r="Z20" s="202"/>
      <c r="AA20" s="202"/>
      <c r="AB20" s="202">
        <v>0.6</v>
      </c>
      <c r="AC20" s="203">
        <v>0.0</v>
      </c>
      <c r="AD20" s="203">
        <v>1.0</v>
      </c>
      <c r="AE20" s="195" t="s">
        <v>800</v>
      </c>
      <c r="AF20" s="195" t="s">
        <v>768</v>
      </c>
      <c r="AG20" s="195" t="s">
        <v>108</v>
      </c>
      <c r="AH20" s="204">
        <v>0.75</v>
      </c>
      <c r="AI20" s="204">
        <v>0.5</v>
      </c>
      <c r="AJ20" s="204"/>
      <c r="AK20" s="204"/>
      <c r="AL20" s="204"/>
      <c r="AM20" s="205"/>
      <c r="AN20" s="205">
        <f>(AH20*'Staff Rates (Internal)'!B$2)+(AI20*'Staff Rates (Internal)'!B$3)+(AJ20*'Staff Rates (Internal)'!B$4)+(AK20*'Staff Rates (Internal)'!B$5)+(AL20*'Staff Rates (Internal)'!B$6)+(AM20*'Staff Rates (Internal)'!B$7)</f>
        <v>65.25</v>
      </c>
      <c r="AO20" s="206">
        <f>(AH20*'Staff Rates (External)'!B$2)+(AI20*'Staff Rates (External)'!B$3)+(AJ20*'Staff Rates (External)'!B$4)+(AK20*'Staff Rates (External)'!B$5)+(AL20*'Staff Rates (External)'!B$6)+(AM20*'Staff Rates (External)'!B$7)</f>
        <v>312.5</v>
      </c>
      <c r="AR20" s="195" t="s">
        <v>801</v>
      </c>
      <c r="AS20" s="195" t="s">
        <v>802</v>
      </c>
      <c r="AX20" s="204"/>
      <c r="AY20" s="204"/>
      <c r="AZ20" s="204"/>
      <c r="BA20" s="204"/>
      <c r="BB20" s="204"/>
      <c r="BC20" s="204"/>
      <c r="BD20" s="204"/>
      <c r="BE20" s="204"/>
      <c r="BF20" s="204"/>
      <c r="BG20" s="204"/>
      <c r="BH20" s="204"/>
      <c r="BI20" s="204"/>
      <c r="BJ20" s="204"/>
      <c r="BK20" s="204"/>
      <c r="BL20" s="204"/>
      <c r="BM20" s="204"/>
      <c r="BN20" s="204"/>
      <c r="BO20" s="204"/>
      <c r="BP20" s="204"/>
      <c r="BQ20" s="204"/>
      <c r="BR20" s="204"/>
      <c r="BS20" s="204"/>
      <c r="BT20" s="204"/>
      <c r="BU20" s="204"/>
      <c r="BV20" s="204"/>
      <c r="BW20" s="204"/>
      <c r="BX20" s="204"/>
      <c r="BY20" s="204"/>
      <c r="BZ20" s="204"/>
      <c r="CA20" s="204"/>
      <c r="CB20" s="207"/>
      <c r="CC20" s="208" t="str">
        <f t="shared" si="2"/>
        <v>Translation (front-end)</v>
      </c>
      <c r="CD20" s="208">
        <f t="shared" si="3"/>
        <v>2.181818182</v>
      </c>
      <c r="CE20" s="203">
        <v>3.0</v>
      </c>
      <c r="CF20" s="203">
        <v>3.0</v>
      </c>
      <c r="CG20" s="203">
        <v>3.0</v>
      </c>
      <c r="CH20" s="203">
        <v>2.0</v>
      </c>
      <c r="CI20" s="203">
        <v>2.0</v>
      </c>
      <c r="CJ20" s="203">
        <v>2.0</v>
      </c>
      <c r="CK20" s="203">
        <v>3.0</v>
      </c>
      <c r="CL20" s="203">
        <v>3.0</v>
      </c>
      <c r="CM20" s="209">
        <v>1.0</v>
      </c>
      <c r="CN20" s="203">
        <v>1.0</v>
      </c>
      <c r="CO20" s="203">
        <v>1.0</v>
      </c>
    </row>
    <row r="21" ht="15.75" customHeight="1">
      <c r="A21" s="185" t="s">
        <v>757</v>
      </c>
      <c r="B21" s="185" t="s">
        <v>384</v>
      </c>
      <c r="C21" s="185" t="s">
        <v>63</v>
      </c>
      <c r="D21" s="185" t="s">
        <v>60</v>
      </c>
      <c r="E21" s="195" t="s">
        <v>794</v>
      </c>
      <c r="F21" s="196" t="str">
        <f t="shared" si="1"/>
        <v>RServTransFE - Custom</v>
      </c>
      <c r="G21" s="196" t="str">
        <f>'Ad-Hoc | Design and Build'!$F27</f>
        <v>Custom quote required if the survey has many embedded data or highlighters which require translation, materials of than the survey require translation, or other abnormal asks.</v>
      </c>
      <c r="H21" s="197"/>
      <c r="I21" s="191"/>
      <c r="J21" s="191" t="str">
        <f>'Ad-Hoc | Design and Build'!$F28</f>
        <v>Custom Quote</v>
      </c>
      <c r="K21" s="198"/>
      <c r="L21" s="198"/>
      <c r="M21" s="198"/>
      <c r="N21" s="198"/>
      <c r="O21" s="198"/>
      <c r="P21" s="198"/>
      <c r="Q21" s="198"/>
      <c r="R21" s="195" t="s">
        <v>799</v>
      </c>
      <c r="S21" s="214" t="s">
        <v>43</v>
      </c>
      <c r="T21" s="195" t="s">
        <v>765</v>
      </c>
      <c r="U21" s="195" t="s">
        <v>765</v>
      </c>
      <c r="V21" s="195" t="s">
        <v>765</v>
      </c>
      <c r="W21" s="201"/>
      <c r="X21" s="213"/>
      <c r="Y21" s="195" t="s">
        <v>799</v>
      </c>
      <c r="Z21" s="202"/>
      <c r="AA21" s="202"/>
      <c r="AB21" s="202">
        <v>0.6</v>
      </c>
      <c r="AC21" s="203">
        <v>0.0</v>
      </c>
      <c r="AD21" s="203">
        <v>1.0</v>
      </c>
      <c r="AE21" s="195" t="s">
        <v>800</v>
      </c>
      <c r="AF21" s="195" t="s">
        <v>768</v>
      </c>
      <c r="AG21" s="195" t="s">
        <v>108</v>
      </c>
      <c r="AH21" s="204">
        <v>0.75</v>
      </c>
      <c r="AI21" s="204">
        <v>0.5</v>
      </c>
      <c r="AJ21" s="204"/>
      <c r="AK21" s="204"/>
      <c r="AL21" s="204"/>
      <c r="AM21" s="205"/>
      <c r="AN21" s="205">
        <f>(AH21*'Staff Rates (Internal)'!B$2)+(AI21*'Staff Rates (Internal)'!B$3)+(AJ21*'Staff Rates (Internal)'!B$4)+(AK21*'Staff Rates (Internal)'!B$5)+(AL21*'Staff Rates (Internal)'!B$6)+(AM21*'Staff Rates (Internal)'!B$7)</f>
        <v>65.25</v>
      </c>
      <c r="AO21" s="206">
        <f>(AH21*'Staff Rates (External)'!B$2)+(AI21*'Staff Rates (External)'!B$3)+(AJ21*'Staff Rates (External)'!B$4)+(AK21*'Staff Rates (External)'!B$5)+(AL21*'Staff Rates (External)'!B$6)+(AM21*'Staff Rates (External)'!B$7)</f>
        <v>312.5</v>
      </c>
      <c r="AR21" s="195" t="s">
        <v>801</v>
      </c>
      <c r="AS21" s="195" t="s">
        <v>802</v>
      </c>
      <c r="AX21" s="204"/>
      <c r="AY21" s="204"/>
      <c r="AZ21" s="204"/>
      <c r="BA21" s="204"/>
      <c r="BB21" s="204"/>
      <c r="BC21" s="204"/>
      <c r="BD21" s="204"/>
      <c r="BE21" s="204"/>
      <c r="BF21" s="204"/>
      <c r="BG21" s="204"/>
      <c r="BH21" s="204"/>
      <c r="BI21" s="204"/>
      <c r="BJ21" s="204"/>
      <c r="BK21" s="204"/>
      <c r="BL21" s="204"/>
      <c r="BM21" s="204"/>
      <c r="BN21" s="204"/>
      <c r="BO21" s="204"/>
      <c r="BP21" s="204"/>
      <c r="BQ21" s="204"/>
      <c r="BR21" s="204"/>
      <c r="BS21" s="204"/>
      <c r="BT21" s="204"/>
      <c r="BU21" s="204"/>
      <c r="BV21" s="204"/>
      <c r="BW21" s="204"/>
      <c r="BX21" s="204"/>
      <c r="BY21" s="204"/>
      <c r="BZ21" s="204"/>
      <c r="CA21" s="204"/>
      <c r="CB21" s="207"/>
      <c r="CC21" s="208" t="str">
        <f t="shared" si="2"/>
        <v>Translation (front-end)</v>
      </c>
      <c r="CD21" s="208">
        <f t="shared" si="3"/>
        <v>1.818181818</v>
      </c>
      <c r="CE21" s="203">
        <v>1.0</v>
      </c>
      <c r="CF21" s="203">
        <v>1.0</v>
      </c>
      <c r="CG21" s="203">
        <v>3.0</v>
      </c>
      <c r="CH21" s="203">
        <v>2.0</v>
      </c>
      <c r="CI21" s="203">
        <v>2.0</v>
      </c>
      <c r="CJ21" s="203">
        <v>2.0</v>
      </c>
      <c r="CK21" s="203">
        <v>3.0</v>
      </c>
      <c r="CL21" s="203">
        <v>3.0</v>
      </c>
      <c r="CM21" s="209">
        <v>1.0</v>
      </c>
      <c r="CN21" s="203">
        <v>1.0</v>
      </c>
      <c r="CO21" s="203">
        <v>1.0</v>
      </c>
    </row>
    <row r="22" ht="15.75" customHeight="1">
      <c r="A22" s="185" t="s">
        <v>757</v>
      </c>
      <c r="B22" s="185" t="s">
        <v>384</v>
      </c>
      <c r="C22" s="185" t="s">
        <v>64</v>
      </c>
      <c r="D22" s="185" t="s">
        <v>56</v>
      </c>
      <c r="E22" s="195" t="s">
        <v>806</v>
      </c>
      <c r="F22" s="196" t="str">
        <f t="shared" si="1"/>
        <v>RSTypingTool - Standard</v>
      </c>
      <c r="G22" s="196" t="str">
        <f>'Ad-Hoc | Design and Build'!$C31</f>
        <v>Includes programming for 1 typing tool, consisting of:
1 model
Up to 6 segments
Up to 20 input variables
No additional processing steps outside of standard segment calculation (variable recoding, segment value calculation, probability calculation, and finding maximum for segment assignment)
Assumptions:
Model uses linear discriminant analysis consisting of coefficients per segmentation variable and segment, as well as probability calculations. Any tool with different output from this will require additional scoping and costs.
Timing Estimate: 3-5 business days</v>
      </c>
      <c r="H22" s="197" t="s">
        <v>807</v>
      </c>
      <c r="I22" s="191"/>
      <c r="J22" s="191">
        <f>'Ad-Hoc | Design and Build'!$C32</f>
        <v>3000</v>
      </c>
      <c r="K22" s="198"/>
      <c r="L22" s="198"/>
      <c r="M22" s="198"/>
      <c r="N22" s="198"/>
      <c r="O22" s="199" t="s">
        <v>808</v>
      </c>
      <c r="P22" s="199" t="s">
        <v>762</v>
      </c>
      <c r="Q22" s="199" t="s">
        <v>763</v>
      </c>
      <c r="R22" s="195" t="s">
        <v>764</v>
      </c>
      <c r="S22" s="200"/>
      <c r="T22" s="195" t="s">
        <v>765</v>
      </c>
      <c r="U22" s="195" t="s">
        <v>765</v>
      </c>
      <c r="V22" s="195" t="s">
        <v>765</v>
      </c>
      <c r="W22" s="201"/>
      <c r="X22" s="195"/>
      <c r="Y22" s="195"/>
      <c r="Z22" s="195"/>
      <c r="AA22" s="195">
        <f>roundup(AN22,-1)</f>
        <v>850</v>
      </c>
      <c r="AB22" s="202">
        <v>0.76</v>
      </c>
      <c r="AC22" s="203">
        <v>2.0</v>
      </c>
      <c r="AD22" s="203">
        <v>1.0</v>
      </c>
      <c r="AE22" s="195" t="s">
        <v>766</v>
      </c>
      <c r="AF22" s="195" t="s">
        <v>767</v>
      </c>
      <c r="AG22" s="195" t="s">
        <v>776</v>
      </c>
      <c r="AH22" s="204"/>
      <c r="AI22" s="204">
        <v>0.5</v>
      </c>
      <c r="AJ22" s="204"/>
      <c r="AK22" s="204">
        <v>12.0</v>
      </c>
      <c r="AL22" s="204"/>
      <c r="AM22" s="205"/>
      <c r="AN22" s="205">
        <f>(AH22*'Staff Rates (Internal)'!B$2)+(AI22*'Staff Rates (Internal)'!B$3)+(AJ22*'Staff Rates (Internal)'!B$4)+(AK22*'Staff Rates (Internal)'!B$5)+(AL22*'Staff Rates (Internal)'!B$6)+(AM22*'Staff Rates (Internal)'!B$7)</f>
        <v>843.75</v>
      </c>
      <c r="AO22" s="206">
        <f>(AH22*'Staff Rates (External)'!B$2)+(AI22*'Staff Rates (External)'!B$3)+(AJ22*'Staff Rates (External)'!B$4)+(AK22*'Staff Rates (External)'!B$5)+(AL22*'Staff Rates (External)'!B$6)+(AM22*'Staff Rates (External)'!B$7)</f>
        <v>3125</v>
      </c>
      <c r="AR22" s="195" t="s">
        <v>788</v>
      </c>
      <c r="AS22" s="195" t="s">
        <v>770</v>
      </c>
      <c r="AX22" s="204" t="s">
        <v>783</v>
      </c>
      <c r="AY22" s="204" t="s">
        <v>783</v>
      </c>
      <c r="AZ22" s="204" t="s">
        <v>783</v>
      </c>
      <c r="BA22" s="204"/>
      <c r="BB22" s="204" t="s">
        <v>783</v>
      </c>
      <c r="BC22" s="204" t="s">
        <v>783</v>
      </c>
      <c r="BD22" s="204" t="s">
        <v>783</v>
      </c>
      <c r="BE22" s="204"/>
      <c r="BF22" s="204" t="s">
        <v>783</v>
      </c>
      <c r="BG22" s="204" t="s">
        <v>783</v>
      </c>
      <c r="BH22" s="204" t="s">
        <v>783</v>
      </c>
      <c r="BI22" s="204"/>
      <c r="BJ22" s="204" t="s">
        <v>783</v>
      </c>
      <c r="BK22" s="204" t="s">
        <v>783</v>
      </c>
      <c r="BL22" s="204" t="s">
        <v>783</v>
      </c>
      <c r="BM22" s="204" t="s">
        <v>783</v>
      </c>
      <c r="BN22" s="204" t="s">
        <v>783</v>
      </c>
      <c r="BO22" s="204" t="s">
        <v>783</v>
      </c>
      <c r="BP22" s="204" t="s">
        <v>783</v>
      </c>
      <c r="BQ22" s="204" t="s">
        <v>783</v>
      </c>
      <c r="BR22" s="204" t="s">
        <v>783</v>
      </c>
      <c r="BS22" s="204" t="s">
        <v>783</v>
      </c>
      <c r="BT22" s="204" t="s">
        <v>783</v>
      </c>
      <c r="BU22" s="204" t="s">
        <v>783</v>
      </c>
      <c r="BV22" s="204" t="s">
        <v>783</v>
      </c>
      <c r="BW22" s="204" t="s">
        <v>783</v>
      </c>
      <c r="BX22" s="204" t="s">
        <v>783</v>
      </c>
      <c r="BY22" s="204" t="s">
        <v>783</v>
      </c>
      <c r="BZ22" s="204" t="s">
        <v>783</v>
      </c>
      <c r="CA22" s="204" t="s">
        <v>783</v>
      </c>
      <c r="CB22" s="207"/>
      <c r="CC22" s="208" t="str">
        <f t="shared" si="2"/>
        <v>Typing Tool Programming</v>
      </c>
      <c r="CD22" s="208">
        <f t="shared" si="3"/>
        <v>2.181818182</v>
      </c>
      <c r="CE22" s="203">
        <v>3.0</v>
      </c>
      <c r="CF22" s="203">
        <v>3.0</v>
      </c>
      <c r="CG22" s="203">
        <v>3.0</v>
      </c>
      <c r="CH22" s="203">
        <v>2.0</v>
      </c>
      <c r="CI22" s="203">
        <v>2.0</v>
      </c>
      <c r="CJ22" s="203">
        <v>3.0</v>
      </c>
      <c r="CK22" s="203">
        <v>2.0</v>
      </c>
      <c r="CL22" s="203">
        <v>3.0</v>
      </c>
      <c r="CM22" s="209">
        <v>1.0</v>
      </c>
      <c r="CN22" s="203">
        <v>1.0</v>
      </c>
      <c r="CO22" s="203">
        <v>1.0</v>
      </c>
    </row>
    <row r="23" ht="15.75" customHeight="1">
      <c r="A23" s="185" t="s">
        <v>757</v>
      </c>
      <c r="B23" s="185" t="s">
        <v>384</v>
      </c>
      <c r="C23" s="185" t="s">
        <v>64</v>
      </c>
      <c r="D23" s="185" t="s">
        <v>58</v>
      </c>
      <c r="E23" s="195" t="s">
        <v>806</v>
      </c>
      <c r="F23" s="196" t="str">
        <f t="shared" si="1"/>
        <v>RSTypingTool - Standard Plus</v>
      </c>
      <c r="G23" s="196" t="str">
        <f>'Ad-Hoc | Design and Build'!$D31</f>
        <v>Includes programming for 1 typing tool, consisting of:
1 model
Up to 10 segments
Up to 40 input variables
Up to 3 additional processing steps outside of standard segment calculation (variable recoding, segment value calculation, probability calculation, and finding maximum for segment assignment)
Assumptions:
Model uses linear discriminant analysis consisting of coefficients per segmentation variable and segment, as well as probability calculations. Any tool with different output from this will require additional scoping and costs.
Timing Estimate: 5-7 business days</v>
      </c>
      <c r="H23" s="197" t="s">
        <v>809</v>
      </c>
      <c r="I23" s="191"/>
      <c r="J23" s="191">
        <f>'Ad-Hoc | Design and Build'!$D32</f>
        <v>5000</v>
      </c>
      <c r="K23" s="198"/>
      <c r="L23" s="198"/>
      <c r="M23" s="198"/>
      <c r="N23" s="198"/>
      <c r="O23" s="215" t="s">
        <v>808</v>
      </c>
      <c r="P23" s="199" t="s">
        <v>762</v>
      </c>
      <c r="Q23" s="199" t="s">
        <v>763</v>
      </c>
      <c r="R23" s="195" t="s">
        <v>764</v>
      </c>
      <c r="S23" s="200"/>
      <c r="T23" s="195" t="s">
        <v>765</v>
      </c>
      <c r="U23" s="195" t="s">
        <v>765</v>
      </c>
      <c r="V23" s="195" t="s">
        <v>765</v>
      </c>
      <c r="W23" s="201"/>
      <c r="X23" s="195"/>
      <c r="Y23" s="195"/>
      <c r="Z23" s="195"/>
      <c r="AA23" s="195">
        <f>ROUNDUP(AN23,-1)</f>
        <v>1390</v>
      </c>
      <c r="AB23" s="202">
        <v>0.76</v>
      </c>
      <c r="AC23" s="203">
        <v>2.0</v>
      </c>
      <c r="AD23" s="203">
        <v>1.0</v>
      </c>
      <c r="AE23" s="195" t="s">
        <v>766</v>
      </c>
      <c r="AF23" s="195" t="s">
        <v>767</v>
      </c>
      <c r="AG23" s="195" t="s">
        <v>776</v>
      </c>
      <c r="AH23" s="204"/>
      <c r="AI23" s="204">
        <v>0.5</v>
      </c>
      <c r="AJ23" s="204"/>
      <c r="AK23" s="204">
        <v>20.0</v>
      </c>
      <c r="AL23" s="204"/>
      <c r="AM23" s="205"/>
      <c r="AN23" s="205">
        <f>(AH23*'Staff Rates (Internal)'!B$2)+(AI23*'Staff Rates (Internal)'!B$3)+(AJ23*'Staff Rates (Internal)'!B$4)+(AK23*'Staff Rates (Internal)'!B$5)+(AL23*'Staff Rates (Internal)'!B$6)+(AM23*'Staff Rates (Internal)'!B$7)</f>
        <v>1383.75</v>
      </c>
      <c r="AO23" s="206">
        <f>(AH23*'Staff Rates (External)'!B$2)+(AI23*'Staff Rates (External)'!B$3)+(AJ23*'Staff Rates (External)'!B$4)+(AK23*'Staff Rates (External)'!B$5)+(AL23*'Staff Rates (External)'!B$6)+(AM23*'Staff Rates (External)'!B$7)</f>
        <v>5125</v>
      </c>
      <c r="AR23" s="195" t="s">
        <v>788</v>
      </c>
      <c r="AS23" s="195" t="s">
        <v>770</v>
      </c>
      <c r="AX23" s="204"/>
      <c r="AY23" s="204"/>
      <c r="AZ23" s="204"/>
      <c r="BA23" s="204"/>
      <c r="BB23" s="204"/>
      <c r="BC23" s="204"/>
      <c r="BD23" s="204"/>
      <c r="BE23" s="204"/>
      <c r="BF23" s="204"/>
      <c r="BG23" s="204"/>
      <c r="BH23" s="204"/>
      <c r="BI23" s="204"/>
      <c r="BJ23" s="204"/>
      <c r="BK23" s="204"/>
      <c r="BL23" s="204"/>
      <c r="BM23" s="204"/>
      <c r="BN23" s="204"/>
      <c r="BO23" s="204"/>
      <c r="BP23" s="204"/>
      <c r="BQ23" s="204"/>
      <c r="BR23" s="204"/>
      <c r="BS23" s="204"/>
      <c r="BT23" s="204"/>
      <c r="BU23" s="204"/>
      <c r="BV23" s="204"/>
      <c r="BW23" s="204"/>
      <c r="BX23" s="204"/>
      <c r="BY23" s="204"/>
      <c r="BZ23" s="204"/>
      <c r="CA23" s="204"/>
      <c r="CB23" s="207"/>
      <c r="CC23" s="208" t="str">
        <f t="shared" si="2"/>
        <v>Typing Tool Programming</v>
      </c>
      <c r="CD23" s="208">
        <f t="shared" si="3"/>
        <v>2.090909091</v>
      </c>
      <c r="CE23" s="203">
        <v>3.0</v>
      </c>
      <c r="CF23" s="203">
        <v>3.0</v>
      </c>
      <c r="CG23" s="203">
        <v>2.0</v>
      </c>
      <c r="CH23" s="203">
        <v>2.0</v>
      </c>
      <c r="CI23" s="203">
        <v>2.0</v>
      </c>
      <c r="CJ23" s="203">
        <v>3.0</v>
      </c>
      <c r="CK23" s="203">
        <v>2.0</v>
      </c>
      <c r="CL23" s="203">
        <v>3.0</v>
      </c>
      <c r="CM23" s="209">
        <v>1.0</v>
      </c>
      <c r="CN23" s="203">
        <v>1.0</v>
      </c>
      <c r="CO23" s="203">
        <v>1.0</v>
      </c>
    </row>
    <row r="24" ht="15.75" customHeight="1">
      <c r="A24" s="185" t="s">
        <v>757</v>
      </c>
      <c r="B24" s="185" t="s">
        <v>384</v>
      </c>
      <c r="C24" s="185" t="s">
        <v>64</v>
      </c>
      <c r="D24" s="185" t="s">
        <v>60</v>
      </c>
      <c r="E24" s="195" t="s">
        <v>806</v>
      </c>
      <c r="F24" s="196" t="str">
        <f t="shared" si="1"/>
        <v>RSTypingTool - Custom</v>
      </c>
      <c r="G24" s="196" t="str">
        <f>'Ad-Hoc | Design and Build'!$F31</f>
        <v>Custom quote required if:
Multiple models
More than 10 segments
More than 50 input variables
Many additional post segment processing steps</v>
      </c>
      <c r="H24" s="197"/>
      <c r="I24" s="191"/>
      <c r="J24" s="191" t="str">
        <f>'Ad-Hoc | Design and Build'!$F32</f>
        <v>Custom Quote</v>
      </c>
      <c r="K24" s="198"/>
      <c r="L24" s="198"/>
      <c r="M24" s="198"/>
      <c r="N24" s="198"/>
      <c r="O24" s="198"/>
      <c r="P24" s="198"/>
      <c r="Q24" s="198"/>
      <c r="R24" s="195" t="s">
        <v>764</v>
      </c>
      <c r="S24" s="200"/>
      <c r="T24" s="195" t="s">
        <v>765</v>
      </c>
      <c r="U24" s="195" t="s">
        <v>765</v>
      </c>
      <c r="V24" s="195" t="s">
        <v>765</v>
      </c>
      <c r="W24" s="201"/>
      <c r="X24" s="195"/>
      <c r="Y24" s="195"/>
      <c r="Z24" s="195"/>
      <c r="AA24" s="195"/>
      <c r="AB24" s="195"/>
      <c r="AC24" s="203">
        <v>2.0</v>
      </c>
      <c r="AD24" s="203">
        <v>1.0</v>
      </c>
      <c r="AE24" s="195" t="s">
        <v>766</v>
      </c>
      <c r="AF24" s="195" t="s">
        <v>767</v>
      </c>
      <c r="AG24" s="195" t="s">
        <v>776</v>
      </c>
      <c r="AH24" s="204"/>
      <c r="AI24" s="204">
        <v>0.5</v>
      </c>
      <c r="AJ24" s="204"/>
      <c r="AK24" s="204"/>
      <c r="AL24" s="204"/>
      <c r="AM24" s="205"/>
      <c r="AN24" s="205">
        <f>(AH24*'Staff Rates (Internal)'!B$2)+(AI24*'Staff Rates (Internal)'!B$3)+(AJ24*'Staff Rates (Internal)'!B$4)+(AK24*'Staff Rates (Internal)'!B$5)+(AL24*'Staff Rates (Internal)'!B$6)+(AM24*'Staff Rates (Internal)'!B$7)</f>
        <v>33.75</v>
      </c>
      <c r="AO24" s="206">
        <f>(AH24*'Staff Rates (External)'!B$2)+(AI24*'Staff Rates (External)'!B$3)+(AJ24*'Staff Rates (External)'!B$4)+(AK24*'Staff Rates (External)'!B$5)+(AL24*'Staff Rates (External)'!B$6)+(AM24*'Staff Rates (External)'!B$7)</f>
        <v>125</v>
      </c>
      <c r="AR24" s="195" t="s">
        <v>788</v>
      </c>
      <c r="AS24" s="195" t="s">
        <v>770</v>
      </c>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c r="BV24" s="204"/>
      <c r="BW24" s="204"/>
      <c r="BX24" s="204"/>
      <c r="BY24" s="204"/>
      <c r="BZ24" s="204"/>
      <c r="CA24" s="204"/>
      <c r="CB24" s="207"/>
      <c r="CC24" s="208" t="str">
        <f t="shared" si="2"/>
        <v>Typing Tool Programming</v>
      </c>
      <c r="CD24" s="208">
        <f t="shared" si="3"/>
        <v>1.727272727</v>
      </c>
      <c r="CE24" s="203">
        <v>1.0</v>
      </c>
      <c r="CF24" s="203">
        <v>1.0</v>
      </c>
      <c r="CG24" s="203">
        <v>2.0</v>
      </c>
      <c r="CH24" s="203">
        <v>2.0</v>
      </c>
      <c r="CI24" s="203">
        <v>2.0</v>
      </c>
      <c r="CJ24" s="203">
        <v>3.0</v>
      </c>
      <c r="CK24" s="203">
        <v>2.0</v>
      </c>
      <c r="CL24" s="203">
        <v>3.0</v>
      </c>
      <c r="CM24" s="209">
        <v>1.0</v>
      </c>
      <c r="CN24" s="203">
        <v>1.0</v>
      </c>
      <c r="CO24" s="203">
        <v>1.0</v>
      </c>
    </row>
    <row r="25" ht="15.75" customHeight="1">
      <c r="A25" s="185" t="s">
        <v>757</v>
      </c>
      <c r="B25" s="185" t="s">
        <v>384</v>
      </c>
      <c r="C25" s="185" t="s">
        <v>436</v>
      </c>
      <c r="D25" s="185" t="s">
        <v>60</v>
      </c>
      <c r="E25" s="195" t="s">
        <v>810</v>
      </c>
      <c r="F25" s="196" t="str">
        <f t="shared" si="1"/>
        <v>RSDataMigration - Custom</v>
      </c>
      <c r="G25" s="196" t="str">
        <f>'Ad-Hoc | Design and Build'!$C35</f>
        <v>Migration of data from a previous survey or other data source.
File requirements: 
Migration file must be in a flat file format (CSV, TSV)
There must be one response per row, and all of the information about the respondent must be contained in only that row (one respondent's information cannot be in multiple rows). 
All non-open end data is provided in numeric format (e.g., Male = 1, Female = 2).
There must be mapping file included (a detailed survey doc that aligns with the file fields works)</v>
      </c>
      <c r="H25" s="197"/>
      <c r="I25" s="191"/>
      <c r="J25" s="191" t="str">
        <f>'Ad-Hoc | Design and Build'!C36</f>
        <v>Custom Quote</v>
      </c>
      <c r="K25" s="198"/>
      <c r="L25" s="198"/>
      <c r="M25" s="198"/>
      <c r="N25" s="198"/>
      <c r="O25" s="198"/>
      <c r="P25" s="198"/>
      <c r="Q25" s="198"/>
      <c r="R25" s="195" t="s">
        <v>764</v>
      </c>
      <c r="S25" s="200"/>
      <c r="T25" s="195" t="s">
        <v>765</v>
      </c>
      <c r="U25" s="195" t="s">
        <v>765</v>
      </c>
      <c r="V25" s="195" t="s">
        <v>765</v>
      </c>
      <c r="W25" s="201"/>
      <c r="X25" s="195"/>
      <c r="Y25" s="195"/>
      <c r="Z25" s="195"/>
      <c r="AA25" s="195"/>
      <c r="AB25" s="195"/>
      <c r="AC25" s="203">
        <v>2.0</v>
      </c>
      <c r="AD25" s="203">
        <v>1.0</v>
      </c>
      <c r="AE25" s="195" t="s">
        <v>766</v>
      </c>
      <c r="AF25" s="195" t="s">
        <v>767</v>
      </c>
      <c r="AG25" s="195" t="s">
        <v>108</v>
      </c>
      <c r="AH25" s="204"/>
      <c r="AI25" s="204"/>
      <c r="AJ25" s="204"/>
      <c r="AK25" s="204"/>
      <c r="AL25" s="204"/>
      <c r="AM25" s="205"/>
      <c r="AN25" s="205">
        <f>(AH25*'Staff Rates (Internal)'!B$2)+(AI25*'Staff Rates (Internal)'!B$3)+(AJ25*'Staff Rates (Internal)'!B$4)+(AK25*'Staff Rates (Internal)'!B$5)+(AL25*'Staff Rates (Internal)'!B$6)+(AM25*'Staff Rates (Internal)'!B$7)</f>
        <v>0</v>
      </c>
      <c r="AO25" s="206">
        <f>(AH25*'Staff Rates (External)'!B$2)+(AI25*'Staff Rates (External)'!B$3)+(AJ25*'Staff Rates (External)'!B$4)+(AK25*'Staff Rates (External)'!B$5)+(AL25*'Staff Rates (External)'!B$6)+(AM25*'Staff Rates (External)'!B$7)</f>
        <v>0</v>
      </c>
      <c r="AR25" s="195" t="s">
        <v>43</v>
      </c>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c r="BU25" s="204"/>
      <c r="BV25" s="204"/>
      <c r="BW25" s="204"/>
      <c r="BX25" s="204"/>
      <c r="BY25" s="204"/>
      <c r="BZ25" s="204"/>
      <c r="CA25" s="204"/>
      <c r="CB25" s="207"/>
      <c r="CC25" s="208" t="str">
        <f t="shared" si="2"/>
        <v>Data Migration</v>
      </c>
      <c r="CD25" s="208">
        <f t="shared" si="3"/>
        <v>1.545454545</v>
      </c>
      <c r="CE25" s="203">
        <v>3.0</v>
      </c>
      <c r="CF25" s="203">
        <v>1.0</v>
      </c>
      <c r="CG25" s="203">
        <v>2.0</v>
      </c>
      <c r="CH25" s="203">
        <v>1.0</v>
      </c>
      <c r="CI25" s="203">
        <v>2.0</v>
      </c>
      <c r="CJ25" s="203">
        <v>1.0</v>
      </c>
      <c r="CK25" s="203">
        <v>1.0</v>
      </c>
      <c r="CL25" s="203">
        <v>3.0</v>
      </c>
      <c r="CM25" s="209">
        <v>1.0</v>
      </c>
      <c r="CN25" s="203">
        <v>1.0</v>
      </c>
      <c r="CO25" s="203">
        <v>1.0</v>
      </c>
    </row>
    <row r="26" ht="15.75" customHeight="1">
      <c r="A26" s="185" t="s">
        <v>757</v>
      </c>
      <c r="B26" s="185" t="s">
        <v>811</v>
      </c>
      <c r="C26" s="185" t="s">
        <v>812</v>
      </c>
      <c r="D26" s="185" t="s">
        <v>813</v>
      </c>
      <c r="E26" s="195" t="s">
        <v>570</v>
      </c>
      <c r="F26" s="196" t="str">
        <f t="shared" si="1"/>
        <v>PMT-01 - Standard - Light</v>
      </c>
      <c r="G26" s="196"/>
      <c r="H26" s="197"/>
      <c r="I26" s="191"/>
      <c r="J26" s="191" t="s">
        <v>814</v>
      </c>
      <c r="K26" s="198"/>
      <c r="L26" s="198"/>
      <c r="M26" s="198"/>
      <c r="N26" s="198"/>
      <c r="O26" s="198"/>
      <c r="P26" s="198"/>
      <c r="Q26" s="198"/>
      <c r="R26" s="195" t="s">
        <v>764</v>
      </c>
      <c r="S26" s="200"/>
      <c r="T26" s="195" t="s">
        <v>765</v>
      </c>
      <c r="U26" s="195" t="s">
        <v>765</v>
      </c>
      <c r="V26" s="195" t="s">
        <v>765</v>
      </c>
      <c r="W26" s="201"/>
      <c r="X26" s="195"/>
      <c r="Y26" s="195"/>
      <c r="Z26" s="195"/>
      <c r="AA26" s="195"/>
      <c r="AB26" s="195"/>
      <c r="AE26" s="216" t="s">
        <v>815</v>
      </c>
      <c r="AF26" s="195" t="s">
        <v>767</v>
      </c>
      <c r="AG26" s="195" t="s">
        <v>108</v>
      </c>
      <c r="AH26" s="217"/>
      <c r="AI26" s="217"/>
      <c r="AJ26" s="204"/>
      <c r="AK26" s="204"/>
      <c r="AL26" s="204"/>
      <c r="AM26" s="205"/>
      <c r="AN26" s="205">
        <f>(AH26*'Staff Rates (Internal)'!B$2)+(AI26*'Staff Rates (Internal)'!B$3)+(AJ26*'Staff Rates (Internal)'!B$4)+(AK26*'Staff Rates (Internal)'!B$5)+(AL26*'Staff Rates (Internal)'!B$6)+(AM26*'Staff Rates (Internal)'!B$7)</f>
        <v>0</v>
      </c>
      <c r="AO26" s="206">
        <f>(AH26*'Staff Rates (External)'!B$2)+(AI26*'Staff Rates (External)'!B$3)+(AJ26*'Staff Rates (External)'!B$4)+(AK26*'Staff Rates (External)'!B$5)+(AL26*'Staff Rates (External)'!B$6)+(AM26*'Staff Rates (External)'!B$7)</f>
        <v>0</v>
      </c>
      <c r="AR26" s="195" t="s">
        <v>43</v>
      </c>
      <c r="AX26" s="204"/>
      <c r="AY26" s="204"/>
      <c r="AZ26" s="204"/>
      <c r="BA26" s="204"/>
      <c r="BB26" s="204"/>
      <c r="BC26" s="204"/>
      <c r="BD26" s="204"/>
      <c r="BE26" s="204"/>
      <c r="BF26" s="204"/>
      <c r="BG26" s="204"/>
      <c r="BH26" s="204"/>
      <c r="BI26" s="204"/>
      <c r="BJ26" s="204"/>
      <c r="BK26" s="204"/>
      <c r="BL26" s="204"/>
      <c r="BM26" s="204"/>
      <c r="BN26" s="204"/>
      <c r="BO26" s="204"/>
      <c r="BP26" s="204"/>
      <c r="BQ26" s="204"/>
      <c r="BR26" s="204"/>
      <c r="BS26" s="204"/>
      <c r="BT26" s="204"/>
      <c r="BU26" s="204"/>
      <c r="BV26" s="204"/>
      <c r="BW26" s="204"/>
      <c r="BX26" s="204"/>
      <c r="BY26" s="204"/>
      <c r="BZ26" s="204"/>
      <c r="CA26" s="204"/>
      <c r="CB26" s="207"/>
      <c r="CC26" s="208" t="str">
        <f t="shared" si="2"/>
        <v>Full Service Project Management</v>
      </c>
      <c r="CD26" s="208">
        <f t="shared" si="3"/>
        <v>1.5</v>
      </c>
      <c r="CE26" s="203">
        <v>3.0</v>
      </c>
      <c r="CM26" s="209">
        <v>1.0</v>
      </c>
      <c r="CN26" s="203">
        <v>1.0</v>
      </c>
      <c r="CO26" s="203">
        <v>1.0</v>
      </c>
    </row>
    <row r="27" ht="15.75" customHeight="1">
      <c r="A27" s="185" t="s">
        <v>757</v>
      </c>
      <c r="B27" s="185" t="s">
        <v>811</v>
      </c>
      <c r="C27" s="185" t="s">
        <v>812</v>
      </c>
      <c r="D27" s="185" t="s">
        <v>816</v>
      </c>
      <c r="E27" s="195" t="s">
        <v>571</v>
      </c>
      <c r="F27" s="196" t="str">
        <f t="shared" si="1"/>
        <v>PMT-02 - Standard Plus - Light</v>
      </c>
      <c r="G27" s="196"/>
      <c r="H27" s="197"/>
      <c r="I27" s="191"/>
      <c r="J27" s="191" t="s">
        <v>814</v>
      </c>
      <c r="K27" s="198"/>
      <c r="L27" s="198"/>
      <c r="M27" s="198"/>
      <c r="N27" s="198"/>
      <c r="O27" s="198"/>
      <c r="P27" s="198"/>
      <c r="Q27" s="198"/>
      <c r="R27" s="195" t="s">
        <v>764</v>
      </c>
      <c r="S27" s="200"/>
      <c r="T27" s="195" t="s">
        <v>765</v>
      </c>
      <c r="U27" s="195" t="s">
        <v>765</v>
      </c>
      <c r="V27" s="195" t="s">
        <v>765</v>
      </c>
      <c r="W27" s="201"/>
      <c r="X27" s="195"/>
      <c r="Y27" s="195"/>
      <c r="Z27" s="195"/>
      <c r="AA27" s="195"/>
      <c r="AB27" s="195"/>
      <c r="AE27" s="216" t="s">
        <v>815</v>
      </c>
      <c r="AF27" s="195" t="s">
        <v>767</v>
      </c>
      <c r="AG27" s="195" t="s">
        <v>108</v>
      </c>
      <c r="AH27" s="217"/>
      <c r="AI27" s="217"/>
      <c r="AJ27" s="204"/>
      <c r="AK27" s="204"/>
      <c r="AL27" s="204"/>
      <c r="AM27" s="205"/>
      <c r="AN27" s="205">
        <f>(AH27*'Staff Rates (Internal)'!B$2)+(AI27*'Staff Rates (Internal)'!B$3)+(AJ27*'Staff Rates (Internal)'!B$4)+(AK27*'Staff Rates (Internal)'!B$5)+(AL27*'Staff Rates (Internal)'!B$6)+(AM27*'Staff Rates (Internal)'!B$7)</f>
        <v>0</v>
      </c>
      <c r="AO27" s="206">
        <f>(AH27*'Staff Rates (External)'!B$2)+(AI27*'Staff Rates (External)'!B$3)+(AJ27*'Staff Rates (External)'!B$4)+(AK27*'Staff Rates (External)'!B$5)+(AL27*'Staff Rates (External)'!B$6)+(AM27*'Staff Rates (External)'!B$7)</f>
        <v>0</v>
      </c>
      <c r="AR27" s="195" t="s">
        <v>43</v>
      </c>
      <c r="AX27" s="204"/>
      <c r="AY27" s="204"/>
      <c r="AZ27" s="204"/>
      <c r="BA27" s="204"/>
      <c r="BB27" s="204"/>
      <c r="BC27" s="204"/>
      <c r="BD27" s="204"/>
      <c r="BE27" s="204"/>
      <c r="BF27" s="204"/>
      <c r="BG27" s="204"/>
      <c r="BH27" s="204"/>
      <c r="BI27" s="204"/>
      <c r="BJ27" s="204"/>
      <c r="BK27" s="204"/>
      <c r="BL27" s="204"/>
      <c r="BM27" s="204"/>
      <c r="BN27" s="204"/>
      <c r="BO27" s="204"/>
      <c r="BP27" s="204"/>
      <c r="BQ27" s="204"/>
      <c r="BR27" s="204"/>
      <c r="BS27" s="204"/>
      <c r="BT27" s="204"/>
      <c r="BU27" s="204"/>
      <c r="BV27" s="204"/>
      <c r="BW27" s="204"/>
      <c r="BX27" s="204"/>
      <c r="BY27" s="204"/>
      <c r="BZ27" s="204"/>
      <c r="CA27" s="204"/>
      <c r="CB27" s="207"/>
      <c r="CC27" s="208" t="str">
        <f t="shared" si="2"/>
        <v>Full Service Project Management</v>
      </c>
      <c r="CD27" s="208">
        <f t="shared" si="3"/>
        <v>1.5</v>
      </c>
      <c r="CE27" s="203">
        <v>3.0</v>
      </c>
      <c r="CM27" s="209">
        <v>1.0</v>
      </c>
      <c r="CN27" s="203">
        <v>1.0</v>
      </c>
      <c r="CO27" s="203">
        <v>1.0</v>
      </c>
    </row>
    <row r="28" ht="15.75" customHeight="1">
      <c r="A28" s="185" t="s">
        <v>757</v>
      </c>
      <c r="B28" s="185" t="s">
        <v>811</v>
      </c>
      <c r="C28" s="185" t="s">
        <v>812</v>
      </c>
      <c r="D28" s="185" t="s">
        <v>817</v>
      </c>
      <c r="E28" s="195" t="s">
        <v>572</v>
      </c>
      <c r="F28" s="196" t="str">
        <f t="shared" si="1"/>
        <v>PMT-03 - Advanced - Light</v>
      </c>
      <c r="G28" s="196"/>
      <c r="H28" s="197"/>
      <c r="I28" s="191"/>
      <c r="J28" s="191" t="s">
        <v>814</v>
      </c>
      <c r="K28" s="198"/>
      <c r="L28" s="198"/>
      <c r="M28" s="198"/>
      <c r="N28" s="198"/>
      <c r="O28" s="198"/>
      <c r="P28" s="198"/>
      <c r="Q28" s="198"/>
      <c r="R28" s="195" t="s">
        <v>764</v>
      </c>
      <c r="S28" s="200"/>
      <c r="T28" s="195" t="s">
        <v>765</v>
      </c>
      <c r="U28" s="195" t="s">
        <v>765</v>
      </c>
      <c r="V28" s="195" t="s">
        <v>765</v>
      </c>
      <c r="W28" s="201"/>
      <c r="X28" s="195"/>
      <c r="Y28" s="195"/>
      <c r="Z28" s="195"/>
      <c r="AA28" s="195"/>
      <c r="AB28" s="195"/>
      <c r="AE28" s="216" t="s">
        <v>815</v>
      </c>
      <c r="AF28" s="195" t="s">
        <v>767</v>
      </c>
      <c r="AG28" s="195" t="s">
        <v>108</v>
      </c>
      <c r="AH28" s="217"/>
      <c r="AI28" s="217"/>
      <c r="AJ28" s="204"/>
      <c r="AK28" s="204"/>
      <c r="AL28" s="204"/>
      <c r="AM28" s="205"/>
      <c r="AN28" s="205">
        <f>(AH28*'Staff Rates (Internal)'!B$2)+(AI28*'Staff Rates (Internal)'!B$3)+(AJ28*'Staff Rates (Internal)'!B$4)+(AK28*'Staff Rates (Internal)'!B$5)+(AL28*'Staff Rates (Internal)'!B$6)+(AM28*'Staff Rates (Internal)'!B$7)</f>
        <v>0</v>
      </c>
      <c r="AO28" s="206">
        <f>(AH28*'Staff Rates (External)'!B$2)+(AI28*'Staff Rates (External)'!B$3)+(AJ28*'Staff Rates (External)'!B$4)+(AK28*'Staff Rates (External)'!B$5)+(AL28*'Staff Rates (External)'!B$6)+(AM28*'Staff Rates (External)'!B$7)</f>
        <v>0</v>
      </c>
      <c r="AR28" s="195" t="s">
        <v>43</v>
      </c>
      <c r="AX28" s="204"/>
      <c r="AY28" s="204"/>
      <c r="AZ28" s="204"/>
      <c r="BA28" s="204"/>
      <c r="BB28" s="204"/>
      <c r="BC28" s="204"/>
      <c r="BD28" s="204"/>
      <c r="BE28" s="204"/>
      <c r="BF28" s="204"/>
      <c r="BG28" s="204"/>
      <c r="BH28" s="204"/>
      <c r="BI28" s="204"/>
      <c r="BJ28" s="204"/>
      <c r="BK28" s="204"/>
      <c r="BL28" s="204"/>
      <c r="BM28" s="204"/>
      <c r="BN28" s="204"/>
      <c r="BO28" s="204"/>
      <c r="BP28" s="204"/>
      <c r="BQ28" s="204"/>
      <c r="BR28" s="204"/>
      <c r="BS28" s="204"/>
      <c r="BT28" s="204"/>
      <c r="BU28" s="204"/>
      <c r="BV28" s="204"/>
      <c r="BW28" s="204"/>
      <c r="BX28" s="204"/>
      <c r="BY28" s="204"/>
      <c r="BZ28" s="204"/>
      <c r="CA28" s="204"/>
      <c r="CB28" s="207"/>
      <c r="CC28" s="208" t="str">
        <f t="shared" si="2"/>
        <v>Full Service Project Management</v>
      </c>
      <c r="CD28" s="208">
        <f t="shared" si="3"/>
        <v>1.5</v>
      </c>
      <c r="CE28" s="203">
        <v>3.0</v>
      </c>
      <c r="CM28" s="209">
        <v>1.0</v>
      </c>
      <c r="CN28" s="203">
        <v>1.0</v>
      </c>
      <c r="CO28" s="203">
        <v>1.0</v>
      </c>
    </row>
    <row r="29" ht="15.75" customHeight="1">
      <c r="A29" s="185" t="s">
        <v>757</v>
      </c>
      <c r="B29" s="185" t="s">
        <v>811</v>
      </c>
      <c r="C29" s="185" t="s">
        <v>812</v>
      </c>
      <c r="D29" s="185" t="s">
        <v>818</v>
      </c>
      <c r="E29" s="195" t="s">
        <v>570</v>
      </c>
      <c r="F29" s="196" t="str">
        <f t="shared" si="1"/>
        <v>PMT-01 - Standard - Moderate</v>
      </c>
      <c r="G29" s="196"/>
      <c r="H29" s="197"/>
      <c r="I29" s="191"/>
      <c r="J29" s="191" t="s">
        <v>814</v>
      </c>
      <c r="K29" s="198"/>
      <c r="L29" s="198"/>
      <c r="M29" s="198"/>
      <c r="N29" s="198"/>
      <c r="O29" s="198"/>
      <c r="P29" s="198"/>
      <c r="Q29" s="198"/>
      <c r="R29" s="195" t="s">
        <v>764</v>
      </c>
      <c r="S29" s="200"/>
      <c r="T29" s="195" t="s">
        <v>765</v>
      </c>
      <c r="U29" s="195" t="s">
        <v>765</v>
      </c>
      <c r="V29" s="195" t="s">
        <v>765</v>
      </c>
      <c r="W29" s="201"/>
      <c r="X29" s="195"/>
      <c r="Y29" s="195"/>
      <c r="Z29" s="195"/>
      <c r="AA29" s="195"/>
      <c r="AB29" s="195"/>
      <c r="AE29" s="216" t="s">
        <v>815</v>
      </c>
      <c r="AF29" s="195" t="s">
        <v>767</v>
      </c>
      <c r="AG29" s="195" t="s">
        <v>108</v>
      </c>
      <c r="AH29" s="217"/>
      <c r="AI29" s="217"/>
      <c r="AJ29" s="204"/>
      <c r="AK29" s="204"/>
      <c r="AL29" s="204"/>
      <c r="AM29" s="205"/>
      <c r="AN29" s="205">
        <f>(AH29*'Staff Rates (Internal)'!B$2)+(AI29*'Staff Rates (Internal)'!B$3)+(AJ29*'Staff Rates (Internal)'!B$4)+(AK29*'Staff Rates (Internal)'!B$5)+(AL29*'Staff Rates (Internal)'!B$6)+(AM29*'Staff Rates (Internal)'!B$7)</f>
        <v>0</v>
      </c>
      <c r="AO29" s="206">
        <f>(AH29*'Staff Rates (External)'!B$2)+(AI29*'Staff Rates (External)'!B$3)+(AJ29*'Staff Rates (External)'!B$4)+(AK29*'Staff Rates (External)'!B$5)+(AL29*'Staff Rates (External)'!B$6)+(AM29*'Staff Rates (External)'!B$7)</f>
        <v>0</v>
      </c>
      <c r="AR29" s="195" t="s">
        <v>43</v>
      </c>
      <c r="AX29" s="204"/>
      <c r="AY29" s="204"/>
      <c r="AZ29" s="204"/>
      <c r="BA29" s="204"/>
      <c r="BB29" s="204"/>
      <c r="BC29" s="204"/>
      <c r="BD29" s="204"/>
      <c r="BE29" s="204"/>
      <c r="BF29" s="204"/>
      <c r="BG29" s="204"/>
      <c r="BH29" s="204"/>
      <c r="BI29" s="204"/>
      <c r="BJ29" s="204"/>
      <c r="BK29" s="204"/>
      <c r="BL29" s="204"/>
      <c r="BM29" s="204"/>
      <c r="BN29" s="204"/>
      <c r="BO29" s="204"/>
      <c r="BP29" s="204"/>
      <c r="BQ29" s="204"/>
      <c r="BR29" s="204"/>
      <c r="BS29" s="204"/>
      <c r="BT29" s="204"/>
      <c r="BU29" s="204"/>
      <c r="BV29" s="204"/>
      <c r="BW29" s="204"/>
      <c r="BX29" s="204"/>
      <c r="BY29" s="204"/>
      <c r="BZ29" s="204"/>
      <c r="CA29" s="204"/>
      <c r="CB29" s="207"/>
      <c r="CC29" s="208" t="str">
        <f t="shared" si="2"/>
        <v>Full Service Project Management</v>
      </c>
      <c r="CD29" s="208">
        <f t="shared" si="3"/>
        <v>1.5</v>
      </c>
      <c r="CE29" s="203">
        <v>3.0</v>
      </c>
      <c r="CM29" s="209">
        <v>1.0</v>
      </c>
      <c r="CN29" s="203">
        <v>1.0</v>
      </c>
      <c r="CO29" s="203">
        <v>1.0</v>
      </c>
    </row>
    <row r="30" ht="15.75" customHeight="1">
      <c r="A30" s="185" t="s">
        <v>757</v>
      </c>
      <c r="B30" s="185" t="s">
        <v>811</v>
      </c>
      <c r="C30" s="185" t="s">
        <v>812</v>
      </c>
      <c r="D30" s="185" t="s">
        <v>819</v>
      </c>
      <c r="E30" s="195" t="s">
        <v>571</v>
      </c>
      <c r="F30" s="196" t="str">
        <f t="shared" si="1"/>
        <v>PMT-02 - Standard Plus - Moderate</v>
      </c>
      <c r="G30" s="196"/>
      <c r="H30" s="197"/>
      <c r="I30" s="191"/>
      <c r="J30" s="191" t="s">
        <v>814</v>
      </c>
      <c r="K30" s="198"/>
      <c r="L30" s="198"/>
      <c r="M30" s="198"/>
      <c r="N30" s="198"/>
      <c r="O30" s="198"/>
      <c r="P30" s="198"/>
      <c r="Q30" s="198"/>
      <c r="R30" s="195" t="s">
        <v>764</v>
      </c>
      <c r="S30" s="200"/>
      <c r="T30" s="195" t="s">
        <v>765</v>
      </c>
      <c r="U30" s="195" t="s">
        <v>765</v>
      </c>
      <c r="V30" s="195" t="s">
        <v>765</v>
      </c>
      <c r="W30" s="201"/>
      <c r="X30" s="195"/>
      <c r="Y30" s="195"/>
      <c r="Z30" s="195"/>
      <c r="AA30" s="195"/>
      <c r="AB30" s="195"/>
      <c r="AE30" s="216" t="s">
        <v>815</v>
      </c>
      <c r="AF30" s="195" t="s">
        <v>767</v>
      </c>
      <c r="AG30" s="195" t="s">
        <v>108</v>
      </c>
      <c r="AH30" s="217"/>
      <c r="AI30" s="217"/>
      <c r="AJ30" s="204"/>
      <c r="AK30" s="204"/>
      <c r="AL30" s="204"/>
      <c r="AM30" s="205"/>
      <c r="AN30" s="205">
        <f>(AH30*'Staff Rates (Internal)'!B$2)+(AI30*'Staff Rates (Internal)'!B$3)+(AJ30*'Staff Rates (Internal)'!B$4)+(AK30*'Staff Rates (Internal)'!B$5)+(AL30*'Staff Rates (Internal)'!B$6)+(AM30*'Staff Rates (Internal)'!B$7)</f>
        <v>0</v>
      </c>
      <c r="AO30" s="206">
        <f>(AH30*'Staff Rates (External)'!B$2)+(AI30*'Staff Rates (External)'!B$3)+(AJ30*'Staff Rates (External)'!B$4)+(AK30*'Staff Rates (External)'!B$5)+(AL30*'Staff Rates (External)'!B$6)+(AM30*'Staff Rates (External)'!B$7)</f>
        <v>0</v>
      </c>
      <c r="AR30" s="195" t="s">
        <v>43</v>
      </c>
      <c r="AX30" s="204"/>
      <c r="AY30" s="204"/>
      <c r="AZ30" s="204"/>
      <c r="BA30" s="204"/>
      <c r="BB30" s="204"/>
      <c r="BC30" s="204"/>
      <c r="BD30" s="204"/>
      <c r="BE30" s="204"/>
      <c r="BF30" s="204"/>
      <c r="BG30" s="204"/>
      <c r="BH30" s="204"/>
      <c r="BI30" s="204"/>
      <c r="BJ30" s="204"/>
      <c r="BK30" s="204"/>
      <c r="BL30" s="204"/>
      <c r="BM30" s="204"/>
      <c r="BN30" s="204"/>
      <c r="BO30" s="204"/>
      <c r="BP30" s="204"/>
      <c r="BQ30" s="204"/>
      <c r="BR30" s="204"/>
      <c r="BS30" s="204"/>
      <c r="BT30" s="204"/>
      <c r="BU30" s="204"/>
      <c r="BV30" s="204"/>
      <c r="BW30" s="204"/>
      <c r="BX30" s="204"/>
      <c r="BY30" s="204"/>
      <c r="BZ30" s="204"/>
      <c r="CA30" s="204"/>
      <c r="CB30" s="207"/>
      <c r="CC30" s="208" t="str">
        <f t="shared" si="2"/>
        <v>Full Service Project Management</v>
      </c>
      <c r="CD30" s="208">
        <f t="shared" si="3"/>
        <v>1.5</v>
      </c>
      <c r="CE30" s="203">
        <v>3.0</v>
      </c>
      <c r="CM30" s="209">
        <v>1.0</v>
      </c>
      <c r="CN30" s="203">
        <v>1.0</v>
      </c>
      <c r="CO30" s="203">
        <v>1.0</v>
      </c>
    </row>
    <row r="31" ht="15.75" customHeight="1">
      <c r="A31" s="185" t="s">
        <v>757</v>
      </c>
      <c r="B31" s="185" t="s">
        <v>811</v>
      </c>
      <c r="C31" s="185" t="s">
        <v>812</v>
      </c>
      <c r="D31" s="185" t="s">
        <v>820</v>
      </c>
      <c r="E31" s="195" t="s">
        <v>572</v>
      </c>
      <c r="F31" s="196" t="str">
        <f t="shared" si="1"/>
        <v>PMT-03 - Advanced - Moderate</v>
      </c>
      <c r="G31" s="196"/>
      <c r="H31" s="197"/>
      <c r="I31" s="191"/>
      <c r="J31" s="191" t="s">
        <v>814</v>
      </c>
      <c r="K31" s="198"/>
      <c r="L31" s="198"/>
      <c r="M31" s="198"/>
      <c r="N31" s="198"/>
      <c r="O31" s="198"/>
      <c r="P31" s="198"/>
      <c r="Q31" s="198"/>
      <c r="R31" s="195" t="s">
        <v>764</v>
      </c>
      <c r="S31" s="200"/>
      <c r="T31" s="195" t="s">
        <v>765</v>
      </c>
      <c r="U31" s="195" t="s">
        <v>765</v>
      </c>
      <c r="V31" s="195" t="s">
        <v>765</v>
      </c>
      <c r="W31" s="201"/>
      <c r="X31" s="195"/>
      <c r="Y31" s="195"/>
      <c r="Z31" s="195"/>
      <c r="AA31" s="195"/>
      <c r="AB31" s="195"/>
      <c r="AE31" s="216" t="s">
        <v>815</v>
      </c>
      <c r="AF31" s="195" t="s">
        <v>767</v>
      </c>
      <c r="AG31" s="195" t="s">
        <v>108</v>
      </c>
      <c r="AH31" s="217"/>
      <c r="AI31" s="217"/>
      <c r="AJ31" s="204"/>
      <c r="AK31" s="204"/>
      <c r="AL31" s="204"/>
      <c r="AM31" s="205"/>
      <c r="AN31" s="205">
        <f>(AH31*'Staff Rates (Internal)'!B$2)+(AI31*'Staff Rates (Internal)'!B$3)+(AJ31*'Staff Rates (Internal)'!B$4)+(AK31*'Staff Rates (Internal)'!B$5)+(AL31*'Staff Rates (Internal)'!B$6)+(AM31*'Staff Rates (Internal)'!B$7)</f>
        <v>0</v>
      </c>
      <c r="AO31" s="206">
        <f>(AH31*'Staff Rates (External)'!B$2)+(AI31*'Staff Rates (External)'!B$3)+(AJ31*'Staff Rates (External)'!B$4)+(AK31*'Staff Rates (External)'!B$5)+(AL31*'Staff Rates (External)'!B$6)+(AM31*'Staff Rates (External)'!B$7)</f>
        <v>0</v>
      </c>
      <c r="AR31" s="195" t="s">
        <v>43</v>
      </c>
      <c r="AX31" s="204"/>
      <c r="AY31" s="204"/>
      <c r="AZ31" s="204"/>
      <c r="BA31" s="204"/>
      <c r="BB31" s="204"/>
      <c r="BC31" s="204"/>
      <c r="BD31" s="204"/>
      <c r="BE31" s="204"/>
      <c r="BF31" s="204"/>
      <c r="BG31" s="204"/>
      <c r="BH31" s="204"/>
      <c r="BI31" s="204"/>
      <c r="BJ31" s="204"/>
      <c r="BK31" s="204"/>
      <c r="BL31" s="204"/>
      <c r="BM31" s="204"/>
      <c r="BN31" s="204"/>
      <c r="BO31" s="204"/>
      <c r="BP31" s="204"/>
      <c r="BQ31" s="204"/>
      <c r="BR31" s="204"/>
      <c r="BS31" s="204"/>
      <c r="BT31" s="204"/>
      <c r="BU31" s="204"/>
      <c r="BV31" s="204"/>
      <c r="BW31" s="204"/>
      <c r="BX31" s="204"/>
      <c r="BY31" s="204"/>
      <c r="BZ31" s="204"/>
      <c r="CA31" s="204"/>
      <c r="CB31" s="207"/>
      <c r="CC31" s="208" t="str">
        <f t="shared" si="2"/>
        <v>Full Service Project Management</v>
      </c>
      <c r="CD31" s="208">
        <f t="shared" si="3"/>
        <v>1.5</v>
      </c>
      <c r="CE31" s="203">
        <v>3.0</v>
      </c>
      <c r="CM31" s="209">
        <v>1.0</v>
      </c>
      <c r="CN31" s="203">
        <v>1.0</v>
      </c>
      <c r="CO31" s="203">
        <v>1.0</v>
      </c>
    </row>
    <row r="32" ht="15.75" customHeight="1">
      <c r="A32" s="185" t="s">
        <v>757</v>
      </c>
      <c r="B32" s="185" t="s">
        <v>811</v>
      </c>
      <c r="C32" s="185" t="s">
        <v>812</v>
      </c>
      <c r="D32" s="185" t="s">
        <v>821</v>
      </c>
      <c r="E32" s="195" t="s">
        <v>570</v>
      </c>
      <c r="F32" s="196" t="str">
        <f t="shared" si="1"/>
        <v>PMT-01 - Standard - Heavy</v>
      </c>
      <c r="G32" s="196"/>
      <c r="H32" s="197"/>
      <c r="I32" s="191"/>
      <c r="J32" s="191" t="s">
        <v>814</v>
      </c>
      <c r="K32" s="198"/>
      <c r="L32" s="198"/>
      <c r="M32" s="198"/>
      <c r="N32" s="198"/>
      <c r="O32" s="198"/>
      <c r="P32" s="198"/>
      <c r="Q32" s="198"/>
      <c r="R32" s="195" t="s">
        <v>764</v>
      </c>
      <c r="S32" s="200"/>
      <c r="T32" s="195" t="s">
        <v>765</v>
      </c>
      <c r="U32" s="195" t="s">
        <v>765</v>
      </c>
      <c r="V32" s="195" t="s">
        <v>765</v>
      </c>
      <c r="W32" s="201"/>
      <c r="X32" s="195"/>
      <c r="Y32" s="195"/>
      <c r="Z32" s="195"/>
      <c r="AA32" s="195"/>
      <c r="AB32" s="195"/>
      <c r="AE32" s="216" t="s">
        <v>815</v>
      </c>
      <c r="AF32" s="195" t="s">
        <v>767</v>
      </c>
      <c r="AG32" s="195" t="s">
        <v>108</v>
      </c>
      <c r="AH32" s="217"/>
      <c r="AI32" s="217"/>
      <c r="AJ32" s="204"/>
      <c r="AK32" s="204"/>
      <c r="AL32" s="204"/>
      <c r="AM32" s="205"/>
      <c r="AN32" s="205">
        <f>(AH32*'Staff Rates (Internal)'!B$2)+(AI32*'Staff Rates (Internal)'!B$3)+(AJ32*'Staff Rates (Internal)'!B$4)+(AK32*'Staff Rates (Internal)'!B$5)+(AL32*'Staff Rates (Internal)'!B$6)+(AM32*'Staff Rates (Internal)'!B$7)</f>
        <v>0</v>
      </c>
      <c r="AO32" s="206">
        <f>(AH32*'Staff Rates (External)'!B$2)+(AI32*'Staff Rates (External)'!B$3)+(AJ32*'Staff Rates (External)'!B$4)+(AK32*'Staff Rates (External)'!B$5)+(AL32*'Staff Rates (External)'!B$6)+(AM32*'Staff Rates (External)'!B$7)</f>
        <v>0</v>
      </c>
      <c r="AR32" s="195" t="s">
        <v>43</v>
      </c>
      <c r="AX32" s="204"/>
      <c r="AY32" s="204"/>
      <c r="AZ32" s="204"/>
      <c r="BA32" s="204"/>
      <c r="BB32" s="204"/>
      <c r="BC32" s="204"/>
      <c r="BD32" s="204"/>
      <c r="BE32" s="204"/>
      <c r="BF32" s="204"/>
      <c r="BG32" s="204"/>
      <c r="BH32" s="204"/>
      <c r="BI32" s="204"/>
      <c r="BJ32" s="204"/>
      <c r="BK32" s="204"/>
      <c r="BL32" s="204"/>
      <c r="BM32" s="204"/>
      <c r="BN32" s="204"/>
      <c r="BO32" s="204"/>
      <c r="BP32" s="204"/>
      <c r="BQ32" s="204"/>
      <c r="BR32" s="204"/>
      <c r="BS32" s="204"/>
      <c r="BT32" s="204"/>
      <c r="BU32" s="204"/>
      <c r="BV32" s="204"/>
      <c r="BW32" s="204"/>
      <c r="BX32" s="204"/>
      <c r="BY32" s="204"/>
      <c r="BZ32" s="204"/>
      <c r="CA32" s="204"/>
      <c r="CB32" s="207"/>
      <c r="CC32" s="208" t="str">
        <f t="shared" si="2"/>
        <v>Full Service Project Management</v>
      </c>
      <c r="CD32" s="208">
        <f t="shared" si="3"/>
        <v>1.5</v>
      </c>
      <c r="CE32" s="203">
        <v>3.0</v>
      </c>
      <c r="CM32" s="209">
        <v>1.0</v>
      </c>
      <c r="CN32" s="203">
        <v>1.0</v>
      </c>
      <c r="CO32" s="203">
        <v>1.0</v>
      </c>
    </row>
    <row r="33" ht="15.75" customHeight="1">
      <c r="A33" s="185" t="s">
        <v>757</v>
      </c>
      <c r="B33" s="185" t="s">
        <v>811</v>
      </c>
      <c r="C33" s="185" t="s">
        <v>812</v>
      </c>
      <c r="D33" s="185" t="s">
        <v>822</v>
      </c>
      <c r="E33" s="195" t="s">
        <v>571</v>
      </c>
      <c r="F33" s="196" t="str">
        <f t="shared" si="1"/>
        <v>PMT-02 - Standard Plus - Heavy</v>
      </c>
      <c r="G33" s="196"/>
      <c r="H33" s="197"/>
      <c r="I33" s="191"/>
      <c r="J33" s="191" t="s">
        <v>814</v>
      </c>
      <c r="K33" s="198"/>
      <c r="L33" s="198"/>
      <c r="M33" s="198"/>
      <c r="N33" s="198"/>
      <c r="O33" s="198"/>
      <c r="P33" s="198"/>
      <c r="Q33" s="198"/>
      <c r="R33" s="195" t="s">
        <v>764</v>
      </c>
      <c r="S33" s="200"/>
      <c r="T33" s="195" t="s">
        <v>765</v>
      </c>
      <c r="U33" s="195" t="s">
        <v>765</v>
      </c>
      <c r="V33" s="195" t="s">
        <v>765</v>
      </c>
      <c r="W33" s="201"/>
      <c r="X33" s="195"/>
      <c r="Y33" s="195"/>
      <c r="Z33" s="195"/>
      <c r="AA33" s="195"/>
      <c r="AB33" s="195"/>
      <c r="AE33" s="216" t="s">
        <v>815</v>
      </c>
      <c r="AF33" s="195" t="s">
        <v>767</v>
      </c>
      <c r="AG33" s="195" t="s">
        <v>108</v>
      </c>
      <c r="AH33" s="217"/>
      <c r="AI33" s="217"/>
      <c r="AJ33" s="204"/>
      <c r="AK33" s="204"/>
      <c r="AL33" s="204"/>
      <c r="AM33" s="205"/>
      <c r="AN33" s="205">
        <f>(AH33*'Staff Rates (Internal)'!B$2)+(AI33*'Staff Rates (Internal)'!B$3)+(AJ33*'Staff Rates (Internal)'!B$4)+(AK33*'Staff Rates (Internal)'!B$5)+(AL33*'Staff Rates (Internal)'!B$6)+(AM33*'Staff Rates (Internal)'!B$7)</f>
        <v>0</v>
      </c>
      <c r="AO33" s="206">
        <f>(AH33*'Staff Rates (External)'!B$2)+(AI33*'Staff Rates (External)'!B$3)+(AJ33*'Staff Rates (External)'!B$4)+(AK33*'Staff Rates (External)'!B$5)+(AL33*'Staff Rates (External)'!B$6)+(AM33*'Staff Rates (External)'!B$7)</f>
        <v>0</v>
      </c>
      <c r="AR33" s="195" t="s">
        <v>43</v>
      </c>
      <c r="AX33" s="204"/>
      <c r="AY33" s="204"/>
      <c r="AZ33" s="204"/>
      <c r="BA33" s="204"/>
      <c r="BB33" s="204"/>
      <c r="BC33" s="204"/>
      <c r="BD33" s="204"/>
      <c r="BE33" s="204"/>
      <c r="BF33" s="204"/>
      <c r="BG33" s="204"/>
      <c r="BH33" s="204"/>
      <c r="BI33" s="204"/>
      <c r="BJ33" s="204"/>
      <c r="BK33" s="204"/>
      <c r="BL33" s="204"/>
      <c r="BM33" s="204"/>
      <c r="BN33" s="204"/>
      <c r="BO33" s="204"/>
      <c r="BP33" s="204"/>
      <c r="BQ33" s="204"/>
      <c r="BR33" s="204"/>
      <c r="BS33" s="204"/>
      <c r="BT33" s="204"/>
      <c r="BU33" s="204"/>
      <c r="BV33" s="204"/>
      <c r="BW33" s="204"/>
      <c r="BX33" s="204"/>
      <c r="BY33" s="204"/>
      <c r="BZ33" s="204"/>
      <c r="CA33" s="204"/>
      <c r="CB33" s="207"/>
      <c r="CC33" s="208" t="str">
        <f t="shared" si="2"/>
        <v>Full Service Project Management</v>
      </c>
      <c r="CD33" s="208">
        <f t="shared" si="3"/>
        <v>1.5</v>
      </c>
      <c r="CE33" s="203">
        <v>3.0</v>
      </c>
      <c r="CM33" s="209">
        <v>1.0</v>
      </c>
      <c r="CN33" s="203">
        <v>1.0</v>
      </c>
      <c r="CO33" s="203">
        <v>1.0</v>
      </c>
    </row>
    <row r="34" ht="15.75" customHeight="1">
      <c r="A34" s="185" t="s">
        <v>757</v>
      </c>
      <c r="B34" s="185" t="s">
        <v>811</v>
      </c>
      <c r="C34" s="185" t="s">
        <v>812</v>
      </c>
      <c r="D34" s="185" t="s">
        <v>823</v>
      </c>
      <c r="E34" s="195" t="s">
        <v>572</v>
      </c>
      <c r="F34" s="196" t="str">
        <f t="shared" si="1"/>
        <v>PMT-03 - Advanced - Heavy</v>
      </c>
      <c r="G34" s="196"/>
      <c r="H34" s="197"/>
      <c r="I34" s="191"/>
      <c r="J34" s="191" t="s">
        <v>814</v>
      </c>
      <c r="K34" s="198"/>
      <c r="L34" s="198"/>
      <c r="M34" s="198"/>
      <c r="N34" s="198"/>
      <c r="O34" s="198"/>
      <c r="P34" s="198"/>
      <c r="Q34" s="198"/>
      <c r="R34" s="195" t="s">
        <v>764</v>
      </c>
      <c r="S34" s="200"/>
      <c r="T34" s="195" t="s">
        <v>765</v>
      </c>
      <c r="U34" s="195" t="s">
        <v>765</v>
      </c>
      <c r="V34" s="195" t="s">
        <v>765</v>
      </c>
      <c r="W34" s="201"/>
      <c r="X34" s="195"/>
      <c r="Y34" s="195"/>
      <c r="Z34" s="195"/>
      <c r="AA34" s="195"/>
      <c r="AB34" s="195"/>
      <c r="AE34" s="216" t="s">
        <v>815</v>
      </c>
      <c r="AF34" s="195" t="s">
        <v>767</v>
      </c>
      <c r="AG34" s="195" t="s">
        <v>108</v>
      </c>
      <c r="AH34" s="217"/>
      <c r="AI34" s="217"/>
      <c r="AJ34" s="204"/>
      <c r="AK34" s="204"/>
      <c r="AL34" s="204"/>
      <c r="AM34" s="205"/>
      <c r="AN34" s="205">
        <f>(AH34*'Staff Rates (Internal)'!B$2)+(AI34*'Staff Rates (Internal)'!B$3)+(AJ34*'Staff Rates (Internal)'!B$4)+(AK34*'Staff Rates (Internal)'!B$5)+(AL34*'Staff Rates (Internal)'!B$6)+(AM34*'Staff Rates (Internal)'!B$7)</f>
        <v>0</v>
      </c>
      <c r="AO34" s="206">
        <f>(AH34*'Staff Rates (External)'!B$2)+(AI34*'Staff Rates (External)'!B$3)+(AJ34*'Staff Rates (External)'!B$4)+(AK34*'Staff Rates (External)'!B$5)+(AL34*'Staff Rates (External)'!B$6)+(AM34*'Staff Rates (External)'!B$7)</f>
        <v>0</v>
      </c>
      <c r="AR34" s="195" t="s">
        <v>43</v>
      </c>
      <c r="AX34" s="204"/>
      <c r="AY34" s="204"/>
      <c r="AZ34" s="204"/>
      <c r="BA34" s="204"/>
      <c r="BB34" s="204"/>
      <c r="BC34" s="204"/>
      <c r="BD34" s="204"/>
      <c r="BE34" s="204"/>
      <c r="BF34" s="204"/>
      <c r="BG34" s="204"/>
      <c r="BH34" s="204"/>
      <c r="BI34" s="204"/>
      <c r="BJ34" s="204"/>
      <c r="BK34" s="204"/>
      <c r="BL34" s="204"/>
      <c r="BM34" s="204"/>
      <c r="BN34" s="204"/>
      <c r="BO34" s="204"/>
      <c r="BP34" s="204"/>
      <c r="BQ34" s="204"/>
      <c r="BR34" s="204"/>
      <c r="BS34" s="204"/>
      <c r="BT34" s="204"/>
      <c r="BU34" s="204"/>
      <c r="BV34" s="204"/>
      <c r="BW34" s="204"/>
      <c r="BX34" s="204"/>
      <c r="BY34" s="204"/>
      <c r="BZ34" s="204"/>
      <c r="CA34" s="204"/>
      <c r="CB34" s="207"/>
      <c r="CC34" s="208" t="str">
        <f t="shared" si="2"/>
        <v>Full Service Project Management</v>
      </c>
      <c r="CD34" s="208">
        <f t="shared" si="3"/>
        <v>1.5</v>
      </c>
      <c r="CE34" s="203">
        <v>3.0</v>
      </c>
      <c r="CM34" s="209">
        <v>1.0</v>
      </c>
      <c r="CN34" s="203">
        <v>1.0</v>
      </c>
      <c r="CO34" s="203">
        <v>1.0</v>
      </c>
    </row>
    <row r="35" ht="15.75" customHeight="1">
      <c r="A35" s="185" t="s">
        <v>757</v>
      </c>
      <c r="B35" s="185" t="s">
        <v>565</v>
      </c>
      <c r="C35" s="185" t="s">
        <v>66</v>
      </c>
      <c r="D35" s="185" t="s">
        <v>56</v>
      </c>
      <c r="E35" s="195" t="s">
        <v>824</v>
      </c>
      <c r="F35" s="196" t="str">
        <f t="shared" si="1"/>
        <v>RServOLSample - Standard</v>
      </c>
      <c r="G35" s="196" t="str">
        <f>'Ad-Hoc | Data Collection'!$C13</f>
        <v>B2C Sample through Online Panel Partners with up to 3 quotas on completes</v>
      </c>
      <c r="H35" s="218" t="s">
        <v>825</v>
      </c>
      <c r="I35" s="191"/>
      <c r="J35" s="191" t="str">
        <f>'Ad-Hoc | Data Collection'!$C14</f>
        <v>CPI * 2.5 / complete</v>
      </c>
      <c r="K35" s="198"/>
      <c r="L35" s="198"/>
      <c r="M35" s="198"/>
      <c r="N35" s="198"/>
      <c r="O35" s="198"/>
      <c r="P35" s="198"/>
      <c r="Q35" s="198"/>
      <c r="R35" s="195" t="s">
        <v>826</v>
      </c>
      <c r="S35" s="200"/>
      <c r="T35" s="195" t="s">
        <v>765</v>
      </c>
      <c r="U35" s="195" t="s">
        <v>765</v>
      </c>
      <c r="V35" s="195" t="s">
        <v>765</v>
      </c>
      <c r="W35" s="201"/>
      <c r="X35" s="195" t="s">
        <v>827</v>
      </c>
      <c r="Y35" s="195" t="s">
        <v>826</v>
      </c>
      <c r="Z35" s="195"/>
      <c r="AA35" s="202"/>
      <c r="AB35" s="202">
        <v>0.6</v>
      </c>
      <c r="AC35" s="203">
        <v>4.0</v>
      </c>
      <c r="AD35" s="203">
        <v>1.0</v>
      </c>
      <c r="AE35" s="195" t="s">
        <v>828</v>
      </c>
      <c r="AF35" s="195" t="s">
        <v>768</v>
      </c>
      <c r="AG35" s="195" t="s">
        <v>108</v>
      </c>
      <c r="AH35" s="204">
        <v>4.0</v>
      </c>
      <c r="AI35" s="204">
        <v>4.0</v>
      </c>
      <c r="AJ35" s="204"/>
      <c r="AK35" s="204"/>
      <c r="AL35" s="204"/>
      <c r="AM35" s="205"/>
      <c r="AN35" s="205">
        <f>(AH35*'Staff Rates (Internal)'!B$2)+(AI35*'Staff Rates (Internal)'!B$3)+(AJ35*'Staff Rates (Internal)'!B$4)+(AK35*'Staff Rates (Internal)'!B$5)+(AL35*'Staff Rates (Internal)'!B$6)+(AM35*'Staff Rates (Internal)'!B$7)</f>
        <v>438</v>
      </c>
      <c r="AO35" s="206">
        <f>(AH35*'Staff Rates (External)'!B$2)+(AI35*'Staff Rates (External)'!B$3)+(AJ35*'Staff Rates (External)'!B$4)+(AK35*'Staff Rates (External)'!B$5)+(AL35*'Staff Rates (External)'!B$6)+(AM35*'Staff Rates (External)'!B$7)</f>
        <v>2000</v>
      </c>
      <c r="AR35" s="195" t="s">
        <v>829</v>
      </c>
      <c r="AS35" s="195" t="s">
        <v>830</v>
      </c>
      <c r="AT35" s="195" t="s">
        <v>831</v>
      </c>
      <c r="AX35" s="204" t="s">
        <v>765</v>
      </c>
      <c r="AY35" s="204" t="s">
        <v>765</v>
      </c>
      <c r="AZ35" s="204" t="s">
        <v>765</v>
      </c>
      <c r="BA35" s="204" t="s">
        <v>765</v>
      </c>
      <c r="BB35" s="204" t="s">
        <v>765</v>
      </c>
      <c r="BC35" s="204" t="s">
        <v>765</v>
      </c>
      <c r="BD35" s="204" t="s">
        <v>765</v>
      </c>
      <c r="BE35" s="204"/>
      <c r="BF35" s="204" t="s">
        <v>765</v>
      </c>
      <c r="BG35" s="204" t="s">
        <v>765</v>
      </c>
      <c r="BH35" s="204" t="s">
        <v>765</v>
      </c>
      <c r="BI35" s="204"/>
      <c r="BJ35" s="204"/>
      <c r="BK35" s="204"/>
      <c r="BL35" s="204"/>
      <c r="BM35" s="204" t="s">
        <v>765</v>
      </c>
      <c r="BN35" s="204" t="s">
        <v>765</v>
      </c>
      <c r="BO35" s="204" t="s">
        <v>765</v>
      </c>
      <c r="BP35" s="204" t="s">
        <v>765</v>
      </c>
      <c r="BQ35" s="204" t="s">
        <v>765</v>
      </c>
      <c r="BR35" s="204" t="s">
        <v>765</v>
      </c>
      <c r="BS35" s="204" t="s">
        <v>765</v>
      </c>
      <c r="BT35" s="204" t="s">
        <v>765</v>
      </c>
      <c r="BU35" s="204" t="s">
        <v>765</v>
      </c>
      <c r="BV35" s="204" t="s">
        <v>765</v>
      </c>
      <c r="BW35" s="204" t="s">
        <v>765</v>
      </c>
      <c r="BX35" s="204" t="s">
        <v>765</v>
      </c>
      <c r="BY35" s="204" t="s">
        <v>765</v>
      </c>
      <c r="BZ35" s="204" t="s">
        <v>765</v>
      </c>
      <c r="CA35" s="204" t="s">
        <v>765</v>
      </c>
      <c r="CB35" s="207"/>
      <c r="CC35" s="208" t="str">
        <f t="shared" si="2"/>
        <v>Panel Sample - Standard</v>
      </c>
      <c r="CD35" s="208">
        <f t="shared" si="3"/>
        <v>2.818181818</v>
      </c>
      <c r="CE35" s="203">
        <v>3.0</v>
      </c>
      <c r="CF35" s="203">
        <v>3.0</v>
      </c>
      <c r="CG35" s="203">
        <v>3.0</v>
      </c>
      <c r="CH35" s="203">
        <v>2.0</v>
      </c>
      <c r="CI35" s="203">
        <v>3.0</v>
      </c>
      <c r="CJ35" s="203">
        <v>4.0</v>
      </c>
      <c r="CK35" s="203">
        <v>4.0</v>
      </c>
      <c r="CL35" s="203">
        <v>3.0</v>
      </c>
      <c r="CM35" s="209">
        <v>1.0</v>
      </c>
      <c r="CN35" s="203">
        <v>3.0</v>
      </c>
      <c r="CO35" s="203">
        <v>2.0</v>
      </c>
    </row>
    <row r="36" ht="15.75" customHeight="1">
      <c r="A36" s="185" t="s">
        <v>757</v>
      </c>
      <c r="B36" s="185" t="s">
        <v>565</v>
      </c>
      <c r="C36" s="185" t="s">
        <v>66</v>
      </c>
      <c r="D36" s="185" t="s">
        <v>58</v>
      </c>
      <c r="E36" s="195" t="s">
        <v>824</v>
      </c>
      <c r="F36" s="196" t="str">
        <f t="shared" si="1"/>
        <v>RServOLSample - Standard Plus</v>
      </c>
      <c r="G36" s="196" t="str">
        <f>'Ad-Hoc | Data Collection'!$D13</f>
        <v>B2C Sample through Online Panel Partners with up to 5 quotas on completes OR simple nested quotas (2 variables, gender + 1 other)</v>
      </c>
      <c r="H36" s="218" t="s">
        <v>832</v>
      </c>
      <c r="I36" s="191"/>
      <c r="J36" s="191" t="str">
        <f>'Ad-Hoc | Data Collection'!$D14</f>
        <v>(CPI * 2.5 + $1) / complete</v>
      </c>
      <c r="K36" s="198"/>
      <c r="L36" s="198"/>
      <c r="M36" s="198"/>
      <c r="N36" s="198"/>
      <c r="O36" s="198"/>
      <c r="P36" s="198"/>
      <c r="Q36" s="198"/>
      <c r="R36" s="195" t="s">
        <v>826</v>
      </c>
      <c r="S36" s="200"/>
      <c r="T36" s="195" t="s">
        <v>765</v>
      </c>
      <c r="U36" s="195" t="s">
        <v>765</v>
      </c>
      <c r="V36" s="195" t="s">
        <v>765</v>
      </c>
      <c r="W36" s="201"/>
      <c r="X36" s="195" t="s">
        <v>827</v>
      </c>
      <c r="Y36" s="195" t="s">
        <v>826</v>
      </c>
      <c r="Z36" s="195"/>
      <c r="AA36" s="195"/>
      <c r="AB36" s="195"/>
      <c r="AC36" s="203">
        <v>4.0</v>
      </c>
      <c r="AD36" s="203">
        <v>1.0</v>
      </c>
      <c r="AE36" s="195" t="s">
        <v>828</v>
      </c>
      <c r="AF36" s="195" t="s">
        <v>768</v>
      </c>
      <c r="AG36" s="195" t="s">
        <v>108</v>
      </c>
      <c r="AH36" s="204">
        <v>4.0</v>
      </c>
      <c r="AI36" s="204">
        <v>6.0</v>
      </c>
      <c r="AJ36" s="204"/>
      <c r="AK36" s="204"/>
      <c r="AL36" s="204"/>
      <c r="AM36" s="205"/>
      <c r="AN36" s="205">
        <f>(AH36*'Staff Rates (Internal)'!B$2)+(AI36*'Staff Rates (Internal)'!B$3)+(AJ36*'Staff Rates (Internal)'!B$4)+(AK36*'Staff Rates (Internal)'!B$5)+(AL36*'Staff Rates (Internal)'!B$6)+(AM36*'Staff Rates (Internal)'!B$7)</f>
        <v>573</v>
      </c>
      <c r="AO36" s="206">
        <f>(AH36*'Staff Rates (External)'!B$2)+(AI36*'Staff Rates (External)'!B$3)+(AJ36*'Staff Rates (External)'!B$4)+(AK36*'Staff Rates (External)'!B$5)+(AL36*'Staff Rates (External)'!B$6)+(AM36*'Staff Rates (External)'!B$7)</f>
        <v>2500</v>
      </c>
      <c r="AR36" s="195" t="s">
        <v>829</v>
      </c>
      <c r="AS36" s="195" t="s">
        <v>830</v>
      </c>
      <c r="AT36" s="195" t="s">
        <v>831</v>
      </c>
      <c r="AX36" s="204"/>
      <c r="AY36" s="204"/>
      <c r="AZ36" s="204"/>
      <c r="BA36" s="204"/>
      <c r="BB36" s="204"/>
      <c r="BC36" s="204"/>
      <c r="BD36" s="204"/>
      <c r="BE36" s="204"/>
      <c r="BF36" s="204"/>
      <c r="BG36" s="204"/>
      <c r="BH36" s="204"/>
      <c r="BI36" s="204" t="s">
        <v>765</v>
      </c>
      <c r="BJ36" s="204" t="s">
        <v>765</v>
      </c>
      <c r="BK36" s="204" t="s">
        <v>765</v>
      </c>
      <c r="BL36" s="204" t="s">
        <v>765</v>
      </c>
      <c r="BM36" s="204"/>
      <c r="BN36" s="204"/>
      <c r="BO36" s="204"/>
      <c r="BP36" s="204"/>
      <c r="BQ36" s="204"/>
      <c r="BR36" s="204"/>
      <c r="BS36" s="204"/>
      <c r="BT36" s="204"/>
      <c r="BU36" s="204"/>
      <c r="BV36" s="204"/>
      <c r="BW36" s="204"/>
      <c r="BX36" s="204"/>
      <c r="BY36" s="204"/>
      <c r="BZ36" s="204"/>
      <c r="CA36" s="204"/>
      <c r="CB36" s="207"/>
      <c r="CC36" s="208" t="str">
        <f t="shared" si="2"/>
        <v>Panel Sample - Standard</v>
      </c>
      <c r="CD36" s="208">
        <f t="shared" si="3"/>
        <v>2.818181818</v>
      </c>
      <c r="CE36" s="203">
        <v>3.0</v>
      </c>
      <c r="CF36" s="203">
        <v>3.0</v>
      </c>
      <c r="CG36" s="203">
        <v>3.0</v>
      </c>
      <c r="CH36" s="203">
        <v>2.0</v>
      </c>
      <c r="CI36" s="203">
        <v>3.0</v>
      </c>
      <c r="CJ36" s="203">
        <v>4.0</v>
      </c>
      <c r="CK36" s="203">
        <v>4.0</v>
      </c>
      <c r="CL36" s="203">
        <v>3.0</v>
      </c>
      <c r="CM36" s="209">
        <v>1.0</v>
      </c>
      <c r="CN36" s="203">
        <v>3.0</v>
      </c>
      <c r="CO36" s="203">
        <v>2.0</v>
      </c>
    </row>
    <row r="37" ht="15.75" customHeight="1">
      <c r="A37" s="185" t="s">
        <v>757</v>
      </c>
      <c r="B37" s="185" t="s">
        <v>565</v>
      </c>
      <c r="C37" s="185" t="s">
        <v>66</v>
      </c>
      <c r="D37" s="185" t="s">
        <v>59</v>
      </c>
      <c r="E37" s="195" t="s">
        <v>824</v>
      </c>
      <c r="F37" s="196" t="str">
        <f t="shared" si="1"/>
        <v>RServOLSample - Advanced</v>
      </c>
      <c r="G37" s="196" t="str">
        <f>'Ad-Hoc | Data Collection'!$E13</f>
        <v>B2C with Balanced Starts (up to 5 quotas on entries) or complex nested quotas (more than 2 variables)</v>
      </c>
      <c r="H37" s="218" t="s">
        <v>832</v>
      </c>
      <c r="I37" s="191"/>
      <c r="J37" s="191" t="str">
        <f>'Ad-Hoc | Data Collection'!$E14</f>
        <v>(CPI * 2.5 + $3) / complete</v>
      </c>
      <c r="K37" s="198"/>
      <c r="L37" s="198"/>
      <c r="M37" s="198"/>
      <c r="N37" s="198"/>
      <c r="O37" s="198"/>
      <c r="P37" s="198"/>
      <c r="Q37" s="198"/>
      <c r="R37" s="195" t="s">
        <v>826</v>
      </c>
      <c r="S37" s="200"/>
      <c r="T37" s="195" t="s">
        <v>765</v>
      </c>
      <c r="U37" s="195" t="s">
        <v>765</v>
      </c>
      <c r="V37" s="195" t="s">
        <v>765</v>
      </c>
      <c r="W37" s="201"/>
      <c r="X37" s="195" t="s">
        <v>827</v>
      </c>
      <c r="Y37" s="195" t="s">
        <v>826</v>
      </c>
      <c r="Z37" s="195"/>
      <c r="AA37" s="195"/>
      <c r="AB37" s="195"/>
      <c r="AC37" s="203">
        <v>4.0</v>
      </c>
      <c r="AD37" s="203">
        <v>1.0</v>
      </c>
      <c r="AE37" s="195" t="s">
        <v>828</v>
      </c>
      <c r="AF37" s="195" t="s">
        <v>768</v>
      </c>
      <c r="AG37" s="195" t="s">
        <v>108</v>
      </c>
      <c r="AH37" s="204">
        <v>0.0</v>
      </c>
      <c r="AI37" s="204">
        <v>12.0</v>
      </c>
      <c r="AJ37" s="204"/>
      <c r="AK37" s="204"/>
      <c r="AL37" s="204"/>
      <c r="AM37" s="205"/>
      <c r="AN37" s="205">
        <f>(AH37*'Staff Rates (Internal)'!B$2)+(AI37*'Staff Rates (Internal)'!B$3)+(AJ37*'Staff Rates (Internal)'!B$4)+(AK37*'Staff Rates (Internal)'!B$5)+(AL37*'Staff Rates (Internal)'!B$6)+(AM37*'Staff Rates (Internal)'!B$7)</f>
        <v>810</v>
      </c>
      <c r="AO37" s="206">
        <f>(AH37*'Staff Rates (External)'!B$2)+(AI37*'Staff Rates (External)'!B$3)+(AJ37*'Staff Rates (External)'!B$4)+(AK37*'Staff Rates (External)'!B$5)+(AL37*'Staff Rates (External)'!B$6)+(AM37*'Staff Rates (External)'!B$7)</f>
        <v>3000</v>
      </c>
      <c r="AR37" s="195" t="s">
        <v>829</v>
      </c>
      <c r="AS37" s="195" t="s">
        <v>830</v>
      </c>
      <c r="AT37" s="195" t="s">
        <v>831</v>
      </c>
      <c r="AX37" s="204"/>
      <c r="AY37" s="204"/>
      <c r="AZ37" s="204"/>
      <c r="BA37" s="204"/>
      <c r="BB37" s="204"/>
      <c r="BC37" s="204"/>
      <c r="BD37" s="204"/>
      <c r="BE37" s="204"/>
      <c r="BF37" s="204"/>
      <c r="BG37" s="204"/>
      <c r="BH37" s="204"/>
      <c r="BI37" s="204"/>
      <c r="BJ37" s="204"/>
      <c r="BK37" s="204"/>
      <c r="BL37" s="204"/>
      <c r="BM37" s="204"/>
      <c r="BN37" s="204"/>
      <c r="BO37" s="204"/>
      <c r="BP37" s="204"/>
      <c r="BQ37" s="204"/>
      <c r="BR37" s="204"/>
      <c r="BS37" s="204"/>
      <c r="BT37" s="204"/>
      <c r="BU37" s="204"/>
      <c r="BV37" s="204"/>
      <c r="BW37" s="204"/>
      <c r="BX37" s="204"/>
      <c r="BY37" s="204"/>
      <c r="BZ37" s="204"/>
      <c r="CA37" s="204"/>
      <c r="CB37" s="207"/>
      <c r="CC37" s="208" t="str">
        <f t="shared" si="2"/>
        <v>Panel Sample - Standard</v>
      </c>
      <c r="CD37" s="208">
        <f t="shared" si="3"/>
        <v>2.818181818</v>
      </c>
      <c r="CE37" s="203">
        <v>3.0</v>
      </c>
      <c r="CF37" s="203">
        <v>3.0</v>
      </c>
      <c r="CG37" s="203">
        <v>3.0</v>
      </c>
      <c r="CH37" s="203">
        <v>2.0</v>
      </c>
      <c r="CI37" s="203">
        <v>3.0</v>
      </c>
      <c r="CJ37" s="203">
        <v>4.0</v>
      </c>
      <c r="CK37" s="203">
        <v>4.0</v>
      </c>
      <c r="CL37" s="203">
        <v>3.0</v>
      </c>
      <c r="CM37" s="209">
        <v>1.0</v>
      </c>
      <c r="CN37" s="203">
        <v>3.0</v>
      </c>
      <c r="CO37" s="203">
        <v>2.0</v>
      </c>
    </row>
    <row r="38" ht="15.75" customHeight="1">
      <c r="A38" s="185" t="s">
        <v>757</v>
      </c>
      <c r="B38" s="185" t="s">
        <v>565</v>
      </c>
      <c r="C38" s="185" t="s">
        <v>833</v>
      </c>
      <c r="D38" s="185" t="s">
        <v>59</v>
      </c>
      <c r="E38" s="195" t="s">
        <v>834</v>
      </c>
      <c r="F38" s="196" t="str">
        <f t="shared" si="1"/>
        <v>RServOLSampleB2B - Advanced</v>
      </c>
      <c r="G38" s="196" t="str">
        <f>'Ad-Hoc | Data Collection'!$C17</f>
        <v>B2B Sample through Online Panel Partners with up to 3 quotas on completes</v>
      </c>
      <c r="H38" s="218" t="s">
        <v>825</v>
      </c>
      <c r="I38" s="191"/>
      <c r="J38" s="191" t="str">
        <f>'Ad-Hoc | Data Collection'!$C18</f>
        <v>CPI * 2.5 / complete</v>
      </c>
      <c r="K38" s="198"/>
      <c r="L38" s="198"/>
      <c r="M38" s="198"/>
      <c r="N38" s="198"/>
      <c r="O38" s="198"/>
      <c r="P38" s="198"/>
      <c r="Q38" s="198"/>
      <c r="R38" s="195" t="s">
        <v>826</v>
      </c>
      <c r="S38" s="200"/>
      <c r="T38" s="195" t="s">
        <v>765</v>
      </c>
      <c r="U38" s="195" t="s">
        <v>765</v>
      </c>
      <c r="V38" s="195" t="s">
        <v>765</v>
      </c>
      <c r="W38" s="201"/>
      <c r="X38" s="195" t="s">
        <v>827</v>
      </c>
      <c r="Y38" s="195" t="s">
        <v>826</v>
      </c>
      <c r="Z38" s="195"/>
      <c r="AA38" s="195"/>
      <c r="AB38" s="195"/>
      <c r="AC38" s="203">
        <v>4.0</v>
      </c>
      <c r="AD38" s="203">
        <v>1.0</v>
      </c>
      <c r="AE38" s="195" t="s">
        <v>828</v>
      </c>
      <c r="AF38" s="195" t="s">
        <v>768</v>
      </c>
      <c r="AG38" s="195" t="s">
        <v>108</v>
      </c>
      <c r="AH38" s="204">
        <v>4.0</v>
      </c>
      <c r="AI38" s="204">
        <v>6.0</v>
      </c>
      <c r="AJ38" s="204"/>
      <c r="AK38" s="204"/>
      <c r="AL38" s="204"/>
      <c r="AM38" s="205"/>
      <c r="AN38" s="205">
        <f>(AH38*'Staff Rates (Internal)'!B$2)+(AI38*'Staff Rates (Internal)'!B$3)+(AJ38*'Staff Rates (Internal)'!B$4)+(AK38*'Staff Rates (Internal)'!B$5)+(AL38*'Staff Rates (Internal)'!B$6)+(AM38*'Staff Rates (Internal)'!B$7)</f>
        <v>573</v>
      </c>
      <c r="AO38" s="206">
        <f>(AH38*'Staff Rates (External)'!B$2)+(AI38*'Staff Rates (External)'!B$3)+(AJ38*'Staff Rates (External)'!B$4)+(AK38*'Staff Rates (External)'!B$5)+(AL38*'Staff Rates (External)'!B$6)+(AM38*'Staff Rates (External)'!B$7)</f>
        <v>2500</v>
      </c>
      <c r="AR38" s="195" t="s">
        <v>830</v>
      </c>
      <c r="AS38" s="195" t="s">
        <v>835</v>
      </c>
      <c r="AT38" s="195" t="s">
        <v>831</v>
      </c>
      <c r="AX38" s="204"/>
      <c r="AY38" s="204"/>
      <c r="AZ38" s="204"/>
      <c r="BA38" s="204"/>
      <c r="BB38" s="204"/>
      <c r="BC38" s="204"/>
      <c r="BD38" s="204"/>
      <c r="BE38" s="204"/>
      <c r="BF38" s="204"/>
      <c r="BG38" s="204"/>
      <c r="BH38" s="204"/>
      <c r="BI38" s="204"/>
      <c r="BJ38" s="204"/>
      <c r="BK38" s="204"/>
      <c r="BL38" s="204"/>
      <c r="BM38" s="204"/>
      <c r="BN38" s="204"/>
      <c r="BO38" s="204"/>
      <c r="BP38" s="204"/>
      <c r="BQ38" s="204"/>
      <c r="BR38" s="204"/>
      <c r="BS38" s="204"/>
      <c r="BT38" s="204"/>
      <c r="BU38" s="204"/>
      <c r="BV38" s="204"/>
      <c r="BW38" s="204"/>
      <c r="BX38" s="204"/>
      <c r="BY38" s="204"/>
      <c r="BZ38" s="204"/>
      <c r="CA38" s="204"/>
      <c r="CB38" s="207"/>
      <c r="CC38" s="208" t="str">
        <f t="shared" si="2"/>
        <v>Panel Sample - B2B</v>
      </c>
      <c r="CD38" s="208">
        <f t="shared" si="3"/>
        <v>2.727272727</v>
      </c>
      <c r="CE38" s="203">
        <v>3.0</v>
      </c>
      <c r="CF38" s="203">
        <v>3.0</v>
      </c>
      <c r="CG38" s="203">
        <v>3.0</v>
      </c>
      <c r="CH38" s="203">
        <v>2.0</v>
      </c>
      <c r="CI38" s="203">
        <v>3.0</v>
      </c>
      <c r="CJ38" s="203">
        <v>3.0</v>
      </c>
      <c r="CK38" s="203">
        <v>4.0</v>
      </c>
      <c r="CL38" s="203">
        <v>3.0</v>
      </c>
      <c r="CM38" s="209">
        <v>1.0</v>
      </c>
      <c r="CN38" s="203">
        <v>3.0</v>
      </c>
      <c r="CO38" s="203">
        <v>2.0</v>
      </c>
    </row>
    <row r="39" ht="15.75" customHeight="1">
      <c r="A39" s="185" t="s">
        <v>757</v>
      </c>
      <c r="B39" s="185" t="s">
        <v>565</v>
      </c>
      <c r="C39" s="185" t="s">
        <v>583</v>
      </c>
      <c r="D39" s="185" t="s">
        <v>59</v>
      </c>
      <c r="E39" s="195" t="s">
        <v>836</v>
      </c>
      <c r="F39" s="196" t="str">
        <f t="shared" si="1"/>
        <v>RServOLSampleMedical - Advanced</v>
      </c>
      <c r="G39" s="196" t="str">
        <f>'Ad-Hoc | Data Collection'!$C21</f>
        <v>Medical Sample through Online Panel Partners with up to 3 quotas on completes</v>
      </c>
      <c r="H39" s="218" t="s">
        <v>825</v>
      </c>
      <c r="I39" s="191"/>
      <c r="J39" s="191" t="str">
        <f>'Ad-Hoc | Data Collection'!$C22</f>
        <v>CPI * 2.5 / complete</v>
      </c>
      <c r="K39" s="198"/>
      <c r="L39" s="198"/>
      <c r="M39" s="198"/>
      <c r="N39" s="198"/>
      <c r="O39" s="198"/>
      <c r="P39" s="198"/>
      <c r="Q39" s="198"/>
      <c r="R39" s="195" t="s">
        <v>826</v>
      </c>
      <c r="S39" s="200"/>
      <c r="T39" s="195" t="s">
        <v>765</v>
      </c>
      <c r="U39" s="195" t="s">
        <v>765</v>
      </c>
      <c r="V39" s="195" t="s">
        <v>765</v>
      </c>
      <c r="W39" s="201"/>
      <c r="X39" s="195" t="s">
        <v>827</v>
      </c>
      <c r="Y39" s="195" t="s">
        <v>826</v>
      </c>
      <c r="Z39" s="195"/>
      <c r="AA39" s="195"/>
      <c r="AB39" s="195"/>
      <c r="AC39" s="203">
        <v>4.0</v>
      </c>
      <c r="AD39" s="203">
        <v>1.0</v>
      </c>
      <c r="AE39" s="195" t="s">
        <v>828</v>
      </c>
      <c r="AF39" s="195" t="s">
        <v>768</v>
      </c>
      <c r="AG39" s="195" t="s">
        <v>108</v>
      </c>
      <c r="AH39" s="204">
        <v>4.0</v>
      </c>
      <c r="AI39" s="204">
        <v>6.0</v>
      </c>
      <c r="AJ39" s="204"/>
      <c r="AK39" s="204"/>
      <c r="AL39" s="204"/>
      <c r="AM39" s="205"/>
      <c r="AN39" s="205">
        <f>(AH39*'Staff Rates (Internal)'!B$2)+(AI39*'Staff Rates (Internal)'!B$3)+(AJ39*'Staff Rates (Internal)'!B$4)+(AK39*'Staff Rates (Internal)'!B$5)+(AL39*'Staff Rates (Internal)'!B$6)+(AM39*'Staff Rates (Internal)'!B$7)</f>
        <v>573</v>
      </c>
      <c r="AO39" s="206">
        <f>(AH39*'Staff Rates (External)'!B$2)+(AI39*'Staff Rates (External)'!B$3)+(AJ39*'Staff Rates (External)'!B$4)+(AK39*'Staff Rates (External)'!B$5)+(AL39*'Staff Rates (External)'!B$6)+(AM39*'Staff Rates (External)'!B$7)</f>
        <v>2500</v>
      </c>
      <c r="AR39" s="195" t="s">
        <v>837</v>
      </c>
      <c r="AS39" s="195" t="s">
        <v>838</v>
      </c>
      <c r="AT39" s="195" t="s">
        <v>831</v>
      </c>
      <c r="AX39" s="204"/>
      <c r="AY39" s="204"/>
      <c r="AZ39" s="204"/>
      <c r="BA39" s="204"/>
      <c r="BB39" s="204"/>
      <c r="BC39" s="204"/>
      <c r="BD39" s="204"/>
      <c r="BE39" s="204"/>
      <c r="BF39" s="204"/>
      <c r="BG39" s="204"/>
      <c r="BH39" s="204"/>
      <c r="BI39" s="204"/>
      <c r="BJ39" s="204"/>
      <c r="BK39" s="204"/>
      <c r="BL39" s="204"/>
      <c r="BM39" s="204"/>
      <c r="BN39" s="204"/>
      <c r="BO39" s="204"/>
      <c r="BP39" s="204"/>
      <c r="BQ39" s="204"/>
      <c r="BR39" s="204"/>
      <c r="BS39" s="204"/>
      <c r="BT39" s="204"/>
      <c r="BU39" s="204"/>
      <c r="BV39" s="204"/>
      <c r="BW39" s="204"/>
      <c r="BX39" s="204"/>
      <c r="BY39" s="204"/>
      <c r="BZ39" s="204"/>
      <c r="CA39" s="204"/>
      <c r="CB39" s="207"/>
      <c r="CC39" s="208" t="str">
        <f t="shared" si="2"/>
        <v>Panel Sample - Medical</v>
      </c>
      <c r="CD39" s="208">
        <f t="shared" si="3"/>
        <v>2.545454545</v>
      </c>
      <c r="CE39" s="203">
        <v>3.0</v>
      </c>
      <c r="CF39" s="203">
        <v>3.0</v>
      </c>
      <c r="CG39" s="203">
        <v>3.0</v>
      </c>
      <c r="CH39" s="203">
        <v>2.0</v>
      </c>
      <c r="CI39" s="203">
        <v>3.0</v>
      </c>
      <c r="CJ39" s="203">
        <v>3.0</v>
      </c>
      <c r="CK39" s="203">
        <v>4.0</v>
      </c>
      <c r="CL39" s="203">
        <v>3.0</v>
      </c>
      <c r="CM39" s="209">
        <v>1.0</v>
      </c>
      <c r="CN39" s="203">
        <v>1.0</v>
      </c>
      <c r="CO39" s="203">
        <v>2.0</v>
      </c>
    </row>
    <row r="40" ht="15.75" customHeight="1">
      <c r="A40" s="185" t="s">
        <v>757</v>
      </c>
      <c r="B40" s="185" t="s">
        <v>565</v>
      </c>
      <c r="C40" s="185" t="s">
        <v>68</v>
      </c>
      <c r="D40" s="185" t="s">
        <v>56</v>
      </c>
      <c r="E40" s="195" t="s">
        <v>839</v>
      </c>
      <c r="F40" s="196" t="str">
        <f t="shared" si="1"/>
        <v>RSDataCollectProbSample - Standard</v>
      </c>
      <c r="G40" s="196" t="str">
        <f>'Ad-Hoc | Data Collection'!$C25</f>
        <v>B2C Probability Sampling for Gen Pop audience within USA</v>
      </c>
      <c r="H40" s="218" t="s">
        <v>840</v>
      </c>
      <c r="I40" s="191"/>
      <c r="J40" s="191" t="str">
        <f>'Ad-Hoc | Data Collection'!$C26</f>
        <v>CPI * 1.54 / complete</v>
      </c>
      <c r="K40" s="198"/>
      <c r="L40" s="198" t="s">
        <v>43</v>
      </c>
      <c r="M40" s="198" t="s">
        <v>43</v>
      </c>
      <c r="N40" s="198"/>
      <c r="O40" s="198"/>
      <c r="P40" s="198"/>
      <c r="Q40" s="198"/>
      <c r="R40" s="195" t="s">
        <v>826</v>
      </c>
      <c r="S40" s="200"/>
      <c r="T40" s="195" t="s">
        <v>765</v>
      </c>
      <c r="U40" s="195" t="s">
        <v>783</v>
      </c>
      <c r="V40" s="195" t="s">
        <v>783</v>
      </c>
      <c r="W40" s="201"/>
      <c r="X40" s="195" t="s">
        <v>827</v>
      </c>
      <c r="Y40" s="195" t="s">
        <v>826</v>
      </c>
      <c r="Z40" s="195"/>
      <c r="AA40" s="202"/>
      <c r="AB40" s="202">
        <v>0.6</v>
      </c>
      <c r="AC40" s="203">
        <v>4.0</v>
      </c>
      <c r="AD40" s="203">
        <v>1.0</v>
      </c>
      <c r="AE40" s="195" t="s">
        <v>828</v>
      </c>
      <c r="AF40" s="195" t="s">
        <v>768</v>
      </c>
      <c r="AG40" s="195" t="s">
        <v>108</v>
      </c>
      <c r="AH40" s="204"/>
      <c r="AI40" s="204">
        <v>12.0</v>
      </c>
      <c r="AJ40" s="204"/>
      <c r="AK40" s="204"/>
      <c r="AL40" s="204"/>
      <c r="AM40" s="205"/>
      <c r="AN40" s="205">
        <f>(AH40*'Staff Rates (Internal)'!B$2)+(AI40*'Staff Rates (Internal)'!B$3)+(AJ40*'Staff Rates (Internal)'!B$4)+(AK40*'Staff Rates (Internal)'!B$5)+(AL40*'Staff Rates (Internal)'!B$6)+(AM40*'Staff Rates (Internal)'!B$7)</f>
        <v>810</v>
      </c>
      <c r="AO40" s="206">
        <f>(AH40*'Staff Rates (External)'!B$2)+(AI40*'Staff Rates (External)'!B$3)+(AJ40*'Staff Rates (External)'!B$4)+(AK40*'Staff Rates (External)'!B$5)+(AL40*'Staff Rates (External)'!B$6)+(AM40*'Staff Rates (External)'!B$7)</f>
        <v>3000</v>
      </c>
      <c r="AR40" s="195" t="s">
        <v>841</v>
      </c>
      <c r="AX40" s="204"/>
      <c r="AY40" s="204"/>
      <c r="AZ40" s="204"/>
      <c r="BA40" s="204"/>
      <c r="BB40" s="204"/>
      <c r="BC40" s="204"/>
      <c r="BD40" s="204"/>
      <c r="BE40" s="204"/>
      <c r="BF40" s="204"/>
      <c r="BG40" s="204"/>
      <c r="BH40" s="204"/>
      <c r="BI40" s="204"/>
      <c r="BJ40" s="204"/>
      <c r="BK40" s="204"/>
      <c r="BL40" s="204"/>
      <c r="BM40" s="204"/>
      <c r="BN40" s="204"/>
      <c r="BO40" s="204"/>
      <c r="BP40" s="204"/>
      <c r="BQ40" s="204"/>
      <c r="BR40" s="204"/>
      <c r="BS40" s="204"/>
      <c r="BT40" s="204"/>
      <c r="BU40" s="204"/>
      <c r="BV40" s="204"/>
      <c r="BW40" s="204"/>
      <c r="BX40" s="204"/>
      <c r="BY40" s="204"/>
      <c r="BZ40" s="204"/>
      <c r="CA40" s="204"/>
      <c r="CB40" s="207"/>
      <c r="CC40" s="208" t="str">
        <f t="shared" si="2"/>
        <v>Panel Sample - Probability Sample</v>
      </c>
      <c r="CD40" s="208">
        <f t="shared" si="3"/>
        <v>2.454545455</v>
      </c>
      <c r="CE40" s="203">
        <v>3.0</v>
      </c>
      <c r="CF40" s="203">
        <v>3.0</v>
      </c>
      <c r="CG40" s="203">
        <v>3.0</v>
      </c>
      <c r="CH40" s="203">
        <v>1.0</v>
      </c>
      <c r="CI40" s="203">
        <v>3.0</v>
      </c>
      <c r="CJ40" s="203">
        <v>3.0</v>
      </c>
      <c r="CK40" s="203">
        <v>4.0</v>
      </c>
      <c r="CL40" s="203">
        <v>3.0</v>
      </c>
      <c r="CM40" s="209">
        <v>1.0</v>
      </c>
      <c r="CN40" s="203">
        <v>1.0</v>
      </c>
      <c r="CO40" s="203">
        <v>2.0</v>
      </c>
    </row>
    <row r="41" ht="15.75" customHeight="1">
      <c r="A41" s="185" t="s">
        <v>757</v>
      </c>
      <c r="B41" s="185" t="s">
        <v>565</v>
      </c>
      <c r="C41" s="185" t="s">
        <v>69</v>
      </c>
      <c r="D41" s="185" t="s">
        <v>56</v>
      </c>
      <c r="E41" s="195" t="s">
        <v>842</v>
      </c>
      <c r="F41" s="196" t="str">
        <f t="shared" si="1"/>
        <v>RServListSend - Standard</v>
      </c>
      <c r="G41" s="219" t="str">
        <f>'Ad-Hoc | Data Collection'!$C29</f>
        <v>Qualtrics will distribute one (1) survey to one (1) Customer list of respondents via the Qualtrics emailer.
Such list management will include:
Screener and quota setup (simple)
Message creation (no custom HTML formatting)
Up to 2 Invite distributions (e.g., soft launch group and full launch group)
Up to 2 Reminders per distribution group
1 Thank You message (optional)
Total list size up to 100,000 recipients,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No HTML or custom formatting is permitted.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
-----------------------------------------------</v>
      </c>
      <c r="H41" s="197" t="s">
        <v>843</v>
      </c>
      <c r="I41" s="191"/>
      <c r="J41" s="191">
        <f>'Ad-Hoc | Data Collection'!$C30</f>
        <v>1500</v>
      </c>
      <c r="K41" s="198"/>
      <c r="L41" s="198"/>
      <c r="M41" s="198"/>
      <c r="N41" s="198"/>
      <c r="O41" s="198"/>
      <c r="P41" s="198"/>
      <c r="Q41" s="198"/>
      <c r="R41" s="195" t="s">
        <v>764</v>
      </c>
      <c r="S41" s="200"/>
      <c r="T41" s="195" t="s">
        <v>765</v>
      </c>
      <c r="U41" s="195" t="s">
        <v>765</v>
      </c>
      <c r="V41" s="195" t="s">
        <v>765</v>
      </c>
      <c r="W41" s="201"/>
      <c r="X41" s="195"/>
      <c r="Y41" s="195"/>
      <c r="Z41" s="195"/>
      <c r="AA41" s="195">
        <f t="shared" ref="AA41:AA43" si="5">roundup(AN41,-1)</f>
        <v>360</v>
      </c>
      <c r="AB41" s="195"/>
      <c r="AC41" s="203">
        <v>6.0</v>
      </c>
      <c r="AD41" s="203">
        <v>1.0</v>
      </c>
      <c r="AE41" s="195" t="s">
        <v>844</v>
      </c>
      <c r="AF41" s="195" t="s">
        <v>767</v>
      </c>
      <c r="AG41" s="195" t="s">
        <v>108</v>
      </c>
      <c r="AH41" s="204">
        <v>2.0</v>
      </c>
      <c r="AI41" s="204">
        <v>4.0</v>
      </c>
      <c r="AJ41" s="204"/>
      <c r="AK41" s="204"/>
      <c r="AL41" s="204"/>
      <c r="AM41" s="205"/>
      <c r="AN41" s="205">
        <f>(AH41*'Staff Rates (Internal)'!B$2)+(AI41*'Staff Rates (Internal)'!B$3)+(AJ41*'Staff Rates (Internal)'!B$4)+(AK41*'Staff Rates (Internal)'!B$5)+(AL41*'Staff Rates (Internal)'!B$6)+(AM41*'Staff Rates (Internal)'!B$7)</f>
        <v>354</v>
      </c>
      <c r="AO41" s="206">
        <f>(AH41*'Staff Rates (External)'!B$2)+(AI41*'Staff Rates (External)'!B$3)+(AJ41*'Staff Rates (External)'!B$4)+(AK41*'Staff Rates (External)'!B$5)+(AL41*'Staff Rates (External)'!B$6)+(AM41*'Staff Rates (External)'!B$7)</f>
        <v>1500</v>
      </c>
      <c r="AR41" s="195" t="s">
        <v>43</v>
      </c>
      <c r="AX41" s="204"/>
      <c r="AY41" s="204"/>
      <c r="AZ41" s="204"/>
      <c r="BA41" s="204"/>
      <c r="BB41" s="204"/>
      <c r="BC41" s="204"/>
      <c r="BD41" s="204"/>
      <c r="BE41" s="204"/>
      <c r="BF41" s="204"/>
      <c r="BG41" s="204"/>
      <c r="BH41" s="204"/>
      <c r="BI41" s="204"/>
      <c r="BJ41" s="204"/>
      <c r="BK41" s="204"/>
      <c r="BL41" s="204"/>
      <c r="BM41" s="204"/>
      <c r="BN41" s="204"/>
      <c r="BO41" s="204"/>
      <c r="BP41" s="204"/>
      <c r="BQ41" s="204"/>
      <c r="BR41" s="204"/>
      <c r="BS41" s="204"/>
      <c r="BT41" s="204"/>
      <c r="BU41" s="204"/>
      <c r="BV41" s="204"/>
      <c r="BW41" s="204"/>
      <c r="BX41" s="204"/>
      <c r="BY41" s="204"/>
      <c r="BZ41" s="204"/>
      <c r="CA41" s="204"/>
      <c r="CB41" s="207"/>
      <c r="CC41" s="208" t="str">
        <f t="shared" si="2"/>
        <v>List Send - Branded</v>
      </c>
      <c r="CD41" s="208">
        <f t="shared" si="3"/>
        <v>2.4</v>
      </c>
      <c r="CE41" s="203">
        <v>3.0</v>
      </c>
      <c r="CF41" s="203">
        <v>3.0</v>
      </c>
      <c r="CG41" s="203">
        <v>3.0</v>
      </c>
      <c r="CH41" s="203">
        <v>3.0</v>
      </c>
      <c r="CI41" s="203">
        <v>3.0</v>
      </c>
      <c r="CJ41" s="203">
        <v>3.0</v>
      </c>
      <c r="CK41" s="203" t="s">
        <v>43</v>
      </c>
      <c r="CL41" s="203">
        <v>3.0</v>
      </c>
      <c r="CM41" s="209">
        <v>1.0</v>
      </c>
      <c r="CN41" s="203">
        <v>1.0</v>
      </c>
      <c r="CO41" s="203">
        <v>1.0</v>
      </c>
    </row>
    <row r="42" ht="15.75" customHeight="1">
      <c r="A42" s="185" t="s">
        <v>757</v>
      </c>
      <c r="B42" s="185" t="s">
        <v>565</v>
      </c>
      <c r="C42" s="185" t="s">
        <v>69</v>
      </c>
      <c r="D42" s="185" t="s">
        <v>58</v>
      </c>
      <c r="E42" s="195" t="s">
        <v>842</v>
      </c>
      <c r="F42" s="196" t="str">
        <f t="shared" si="1"/>
        <v>RServListSend - Standard Plus</v>
      </c>
      <c r="G42" s="196" t="str">
        <f>'Ad-Hoc | Data Collection'!$D29</f>
        <v>*Note, if list size is over is 100,000, we may need to use Verias to clean email lists - Recommended for all countries. Required for countries outside of US, Canada, Western Europe, Australia, and New Zealand.
Qualtrics will distribute one (1) survey to one (1) Customer list of respondents via the Qualtrics emailer.
Such list management will include:
Screener and quota setup (simple)
Message creation (no custom HTML formatting)
Up to 5 Invite distributions (e.g., soft launch group and full launch group)
Up to 2 Reminders per distribution group
1 Thank You message (optional)
Total list size up to 350,000 recipients,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No HTML or custom formatting is permitted.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v>
      </c>
      <c r="H42" s="210" t="s">
        <v>845</v>
      </c>
      <c r="I42" s="191"/>
      <c r="J42" s="191" t="str">
        <f>'Ad-Hoc | Data Collection'!$D30</f>
        <v>$3,500 (+ 0.002/email if using Verias)</v>
      </c>
      <c r="K42" s="198"/>
      <c r="L42" s="198"/>
      <c r="M42" s="198"/>
      <c r="N42" s="198"/>
      <c r="O42" s="198"/>
      <c r="P42" s="198"/>
      <c r="Q42" s="198"/>
      <c r="R42" s="195" t="s">
        <v>764</v>
      </c>
      <c r="S42" s="185" t="s">
        <v>846</v>
      </c>
      <c r="T42" s="195" t="s">
        <v>765</v>
      </c>
      <c r="U42" s="195" t="s">
        <v>765</v>
      </c>
      <c r="V42" s="195" t="s">
        <v>765</v>
      </c>
      <c r="W42" s="201"/>
      <c r="X42" s="195"/>
      <c r="Y42" s="195"/>
      <c r="Z42" s="195"/>
      <c r="AA42" s="195">
        <f t="shared" si="5"/>
        <v>850</v>
      </c>
      <c r="AB42" s="195"/>
      <c r="AC42" s="203">
        <v>6.0</v>
      </c>
      <c r="AD42" s="203">
        <v>1.0</v>
      </c>
      <c r="AE42" s="195" t="s">
        <v>844</v>
      </c>
      <c r="AF42" s="195" t="s">
        <v>767</v>
      </c>
      <c r="AG42" s="195" t="s">
        <v>108</v>
      </c>
      <c r="AH42" s="204">
        <v>4.0</v>
      </c>
      <c r="AI42" s="204">
        <v>10.0</v>
      </c>
      <c r="AJ42" s="204"/>
      <c r="AK42" s="204"/>
      <c r="AL42" s="204"/>
      <c r="AM42" s="205"/>
      <c r="AN42" s="205">
        <f>(AH42*'Staff Rates (Internal)'!B$2)+(AI42*'Staff Rates (Internal)'!B$3)+(AJ42*'Staff Rates (Internal)'!B$4)+(AK42*'Staff Rates (Internal)'!B$5)+(AL42*'Staff Rates (Internal)'!B$6)+(AM42*'Staff Rates (Internal)'!B$7)</f>
        <v>843</v>
      </c>
      <c r="AO42" s="206">
        <f>(AH42*'Staff Rates (External)'!B$2)+(AI42*'Staff Rates (External)'!B$3)+(AJ42*'Staff Rates (External)'!B$4)+(AK42*'Staff Rates (External)'!B$5)+(AL42*'Staff Rates (External)'!B$6)+(AM42*'Staff Rates (External)'!B$7)</f>
        <v>3500</v>
      </c>
      <c r="AR42" s="195" t="s">
        <v>43</v>
      </c>
      <c r="AX42" s="204"/>
      <c r="AY42" s="204"/>
      <c r="AZ42" s="204"/>
      <c r="BA42" s="204"/>
      <c r="BB42" s="204"/>
      <c r="BC42" s="204"/>
      <c r="BD42" s="204"/>
      <c r="BE42" s="204"/>
      <c r="BF42" s="204"/>
      <c r="BG42" s="204"/>
      <c r="BH42" s="204"/>
      <c r="BI42" s="204"/>
      <c r="BJ42" s="204"/>
      <c r="BK42" s="204"/>
      <c r="BL42" s="204"/>
      <c r="BM42" s="204"/>
      <c r="BN42" s="204"/>
      <c r="BO42" s="204"/>
      <c r="BP42" s="204"/>
      <c r="BQ42" s="204"/>
      <c r="BR42" s="204"/>
      <c r="BS42" s="204"/>
      <c r="BT42" s="204"/>
      <c r="BU42" s="204"/>
      <c r="BV42" s="204"/>
      <c r="BW42" s="204"/>
      <c r="BX42" s="204"/>
      <c r="BY42" s="204"/>
      <c r="BZ42" s="204"/>
      <c r="CA42" s="204"/>
      <c r="CB42" s="207"/>
      <c r="CC42" s="208" t="str">
        <f t="shared" si="2"/>
        <v>List Send - Branded</v>
      </c>
      <c r="CD42" s="208">
        <f t="shared" si="3"/>
        <v>2.4</v>
      </c>
      <c r="CE42" s="203">
        <v>3.0</v>
      </c>
      <c r="CF42" s="203">
        <v>3.0</v>
      </c>
      <c r="CG42" s="203">
        <v>3.0</v>
      </c>
      <c r="CH42" s="203">
        <v>3.0</v>
      </c>
      <c r="CI42" s="203">
        <v>3.0</v>
      </c>
      <c r="CJ42" s="203">
        <v>3.0</v>
      </c>
      <c r="CK42" s="203" t="s">
        <v>43</v>
      </c>
      <c r="CL42" s="203">
        <v>3.0</v>
      </c>
      <c r="CM42" s="209">
        <v>1.0</v>
      </c>
      <c r="CN42" s="203">
        <v>1.0</v>
      </c>
      <c r="CO42" s="203">
        <v>1.0</v>
      </c>
    </row>
    <row r="43" ht="15.75" customHeight="1">
      <c r="A43" s="185" t="s">
        <v>757</v>
      </c>
      <c r="B43" s="185" t="s">
        <v>565</v>
      </c>
      <c r="C43" s="185" t="s">
        <v>69</v>
      </c>
      <c r="D43" s="185" t="s">
        <v>59</v>
      </c>
      <c r="E43" s="195" t="s">
        <v>842</v>
      </c>
      <c r="F43" s="196" t="str">
        <f t="shared" si="1"/>
        <v>RServListSend - Advanced</v>
      </c>
      <c r="G43" s="196" t="str">
        <f>'Ad-Hoc | Data Collection'!$E29</f>
        <v>*Note, if list size is over is 100,000, we may need to use Verias to clean email lists - Recommended for all countries. Required for countries outside of US, Canada, Western Europe, Australia, and New Zealand.
Qualtrics will distribute one (1) survey to one (1) Customer list of respondents via the Qualtrics emailer.
Such list management will include:
Screener and quota setup (simple)
Message creation (no custom HTML formatting)
Up to 10 Invite distributions (e.g., soft launch group and full launch group)
Up to 2 Reminders per distribution group
1 Thank You message (optional)
Total list size up to 600,000 recipients,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Provide any desired message HTML formatting. Qualtrics will not provide or modify any HTML formatting.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
-----------------------------------------------</v>
      </c>
      <c r="H43" s="197" t="s">
        <v>847</v>
      </c>
      <c r="I43" s="191"/>
      <c r="J43" s="191" t="str">
        <f>'Ad-Hoc | Data Collection'!$E30</f>
        <v>$7,000 (+ 0.002/email if using Verias)</v>
      </c>
      <c r="K43" s="198"/>
      <c r="L43" s="198"/>
      <c r="M43" s="198"/>
      <c r="N43" s="198"/>
      <c r="O43" s="198"/>
      <c r="P43" s="198"/>
      <c r="Q43" s="198"/>
      <c r="R43" s="195" t="s">
        <v>764</v>
      </c>
      <c r="S43" s="185" t="s">
        <v>846</v>
      </c>
      <c r="T43" s="195" t="s">
        <v>765</v>
      </c>
      <c r="U43" s="195" t="s">
        <v>765</v>
      </c>
      <c r="V43" s="195" t="s">
        <v>765</v>
      </c>
      <c r="W43" s="201"/>
      <c r="X43" s="195"/>
      <c r="Y43" s="195"/>
      <c r="Z43" s="195"/>
      <c r="AA43" s="195">
        <f t="shared" si="5"/>
        <v>1690</v>
      </c>
      <c r="AB43" s="195"/>
      <c r="AC43" s="203">
        <v>6.0</v>
      </c>
      <c r="AD43" s="203">
        <v>1.0</v>
      </c>
      <c r="AE43" s="195" t="s">
        <v>844</v>
      </c>
      <c r="AF43" s="195" t="s">
        <v>767</v>
      </c>
      <c r="AG43" s="195" t="s">
        <v>108</v>
      </c>
      <c r="AH43" s="204">
        <v>8.0</v>
      </c>
      <c r="AI43" s="204">
        <v>20.0</v>
      </c>
      <c r="AJ43" s="204"/>
      <c r="AK43" s="204"/>
      <c r="AL43" s="204"/>
      <c r="AM43" s="205"/>
      <c r="AN43" s="205">
        <f>(AH43*'Staff Rates (Internal)'!B$2)+(AI43*'Staff Rates (Internal)'!B$3)+(AJ43*'Staff Rates (Internal)'!B$4)+(AK43*'Staff Rates (Internal)'!B$5)+(AL43*'Staff Rates (Internal)'!B$6)+(AM43*'Staff Rates (Internal)'!B$7)</f>
        <v>1686</v>
      </c>
      <c r="AO43" s="206">
        <f>(AH43*'Staff Rates (External)'!B$2)+(AI43*'Staff Rates (External)'!B$3)+(AJ43*'Staff Rates (External)'!B$4)+(AK43*'Staff Rates (External)'!B$5)+(AL43*'Staff Rates (External)'!B$6)+(AM43*'Staff Rates (External)'!B$7)</f>
        <v>7000</v>
      </c>
      <c r="AR43" s="195" t="s">
        <v>43</v>
      </c>
      <c r="AX43" s="204"/>
      <c r="AY43" s="204"/>
      <c r="AZ43" s="204"/>
      <c r="BA43" s="204"/>
      <c r="BB43" s="204"/>
      <c r="BC43" s="204"/>
      <c r="BD43" s="204"/>
      <c r="BE43" s="204"/>
      <c r="BF43" s="204"/>
      <c r="BG43" s="204"/>
      <c r="BH43" s="204"/>
      <c r="BI43" s="204"/>
      <c r="BJ43" s="204"/>
      <c r="BK43" s="204"/>
      <c r="BL43" s="204"/>
      <c r="BM43" s="204"/>
      <c r="BN43" s="204"/>
      <c r="BO43" s="204"/>
      <c r="BP43" s="204"/>
      <c r="BQ43" s="204"/>
      <c r="BR43" s="204"/>
      <c r="BS43" s="204"/>
      <c r="BT43" s="204"/>
      <c r="BU43" s="204"/>
      <c r="BV43" s="204"/>
      <c r="BW43" s="204"/>
      <c r="BX43" s="204"/>
      <c r="BY43" s="204"/>
      <c r="BZ43" s="204"/>
      <c r="CA43" s="204"/>
      <c r="CB43" s="207"/>
      <c r="CC43" s="208" t="str">
        <f t="shared" si="2"/>
        <v>List Send - Branded</v>
      </c>
      <c r="CD43" s="208">
        <f t="shared" si="3"/>
        <v>2.4</v>
      </c>
      <c r="CE43" s="203">
        <v>3.0</v>
      </c>
      <c r="CF43" s="203">
        <v>3.0</v>
      </c>
      <c r="CG43" s="203">
        <v>3.0</v>
      </c>
      <c r="CH43" s="203">
        <v>3.0</v>
      </c>
      <c r="CI43" s="203">
        <v>3.0</v>
      </c>
      <c r="CJ43" s="203">
        <v>3.0</v>
      </c>
      <c r="CK43" s="203" t="s">
        <v>43</v>
      </c>
      <c r="CL43" s="203">
        <v>3.0</v>
      </c>
      <c r="CM43" s="209">
        <v>1.0</v>
      </c>
      <c r="CN43" s="203">
        <v>1.0</v>
      </c>
      <c r="CO43" s="203">
        <v>1.0</v>
      </c>
    </row>
    <row r="44" ht="15.75" customHeight="1">
      <c r="A44" s="185" t="s">
        <v>757</v>
      </c>
      <c r="B44" s="185" t="s">
        <v>565</v>
      </c>
      <c r="C44" s="185" t="s">
        <v>69</v>
      </c>
      <c r="D44" s="185" t="s">
        <v>60</v>
      </c>
      <c r="E44" s="195" t="s">
        <v>842</v>
      </c>
      <c r="F44" s="196" t="str">
        <f t="shared" si="1"/>
        <v>RServListSend - Custom</v>
      </c>
      <c r="G44" s="196" t="str">
        <f>'Ad-Hoc | Data Collection'!$F29</f>
        <v>Branded list send which is more complex than the Advanced option and may include:
Multiple countries
Multiple invitations for different groups
Over 10 Distributions
Email triggers
List sends involving dyads, recontacts, or diaries
</v>
      </c>
      <c r="H44" s="197"/>
      <c r="I44" s="191"/>
      <c r="J44" s="191" t="str">
        <f>'Ad-Hoc | Data Collection'!$F30</f>
        <v>Custom Quote</v>
      </c>
      <c r="K44" s="198"/>
      <c r="L44" s="198"/>
      <c r="M44" s="198"/>
      <c r="N44" s="198"/>
      <c r="O44" s="198"/>
      <c r="P44" s="198"/>
      <c r="Q44" s="198"/>
      <c r="R44" s="195" t="s">
        <v>764</v>
      </c>
      <c r="S44" s="185" t="s">
        <v>846</v>
      </c>
      <c r="T44" s="195" t="s">
        <v>765</v>
      </c>
      <c r="U44" s="195" t="s">
        <v>765</v>
      </c>
      <c r="V44" s="195" t="s">
        <v>765</v>
      </c>
      <c r="W44" s="201"/>
      <c r="X44" s="195"/>
      <c r="Y44" s="195"/>
      <c r="Z44" s="195"/>
      <c r="AA44" s="195"/>
      <c r="AB44" s="195"/>
      <c r="AC44" s="203">
        <v>6.0</v>
      </c>
      <c r="AD44" s="203">
        <v>1.0</v>
      </c>
      <c r="AE44" s="195" t="s">
        <v>844</v>
      </c>
      <c r="AF44" s="195" t="s">
        <v>767</v>
      </c>
      <c r="AG44" s="195" t="s">
        <v>108</v>
      </c>
      <c r="AH44" s="204">
        <v>8.0</v>
      </c>
      <c r="AI44" s="204">
        <v>20.0</v>
      </c>
      <c r="AJ44" s="204"/>
      <c r="AK44" s="204"/>
      <c r="AL44" s="204"/>
      <c r="AM44" s="205"/>
      <c r="AN44" s="205">
        <f>(AH44*'Staff Rates (Internal)'!B$2)+(AI44*'Staff Rates (Internal)'!B$3)+(AJ44*'Staff Rates (Internal)'!B$4)+(AK44*'Staff Rates (Internal)'!B$5)+(AL44*'Staff Rates (Internal)'!B$6)+(AM44*'Staff Rates (Internal)'!B$7)</f>
        <v>1686</v>
      </c>
      <c r="AO44" s="206">
        <f>(AH44*'Staff Rates (External)'!B$2)+(AI44*'Staff Rates (External)'!B$3)+(AJ44*'Staff Rates (External)'!B$4)+(AK44*'Staff Rates (External)'!B$5)+(AL44*'Staff Rates (External)'!B$6)+(AM44*'Staff Rates (External)'!B$7)</f>
        <v>7000</v>
      </c>
      <c r="AR44" s="195" t="s">
        <v>43</v>
      </c>
      <c r="AX44" s="204"/>
      <c r="AY44" s="204"/>
      <c r="AZ44" s="204"/>
      <c r="BA44" s="204"/>
      <c r="BB44" s="204"/>
      <c r="BC44" s="204"/>
      <c r="BD44" s="204"/>
      <c r="BE44" s="204"/>
      <c r="BF44" s="204"/>
      <c r="BG44" s="204"/>
      <c r="BH44" s="204"/>
      <c r="BI44" s="204"/>
      <c r="BJ44" s="204"/>
      <c r="BK44" s="204"/>
      <c r="BL44" s="204"/>
      <c r="BM44" s="204"/>
      <c r="BN44" s="204"/>
      <c r="BO44" s="204"/>
      <c r="BP44" s="204"/>
      <c r="BQ44" s="204"/>
      <c r="BR44" s="204"/>
      <c r="BS44" s="204"/>
      <c r="BT44" s="204"/>
      <c r="BU44" s="204"/>
      <c r="BV44" s="204"/>
      <c r="BW44" s="204"/>
      <c r="BX44" s="204"/>
      <c r="BY44" s="204"/>
      <c r="BZ44" s="204"/>
      <c r="CA44" s="204"/>
      <c r="CB44" s="207"/>
      <c r="CC44" s="208" t="str">
        <f t="shared" si="2"/>
        <v>List Send - Branded</v>
      </c>
      <c r="CD44" s="208">
        <f t="shared" si="3"/>
        <v>2</v>
      </c>
      <c r="CE44" s="203">
        <v>1.0</v>
      </c>
      <c r="CF44" s="203">
        <v>1.0</v>
      </c>
      <c r="CG44" s="203">
        <v>3.0</v>
      </c>
      <c r="CH44" s="203">
        <v>3.0</v>
      </c>
      <c r="CI44" s="203">
        <v>3.0</v>
      </c>
      <c r="CJ44" s="203">
        <v>3.0</v>
      </c>
      <c r="CK44" s="203" t="s">
        <v>43</v>
      </c>
      <c r="CL44" s="203">
        <v>3.0</v>
      </c>
      <c r="CM44" s="209">
        <v>1.0</v>
      </c>
      <c r="CN44" s="203">
        <v>1.0</v>
      </c>
      <c r="CO44" s="203">
        <v>1.0</v>
      </c>
    </row>
    <row r="45" ht="15.75" customHeight="1">
      <c r="A45" s="185" t="s">
        <v>757</v>
      </c>
      <c r="B45" s="185" t="s">
        <v>565</v>
      </c>
      <c r="C45" s="185" t="s">
        <v>70</v>
      </c>
      <c r="D45" s="185" t="s">
        <v>56</v>
      </c>
      <c r="E45" s="195" t="s">
        <v>848</v>
      </c>
      <c r="F45" s="196" t="str">
        <f t="shared" si="1"/>
        <v>RSListSendUnbranded - Standard</v>
      </c>
      <c r="G45" s="196" t="str">
        <f>'Ad-Hoc | Data Collection'!$C33</f>
        <v>Standard invite (no custom formatting required, client provides messaging, client provides invite for unbranded invite (in Qualtrics or word))
Screener and Quota Setup included (simple)
1-2 distributions (e.g., soft launch group and full launch group), up to 2 reminders per group, and a Thank You message (optional)
Total list size up to 100,000 recipients, with real-time send or scheduling. List provided is clean and ready for distribution.</v>
      </c>
      <c r="H45" s="197" t="s">
        <v>843</v>
      </c>
      <c r="I45" s="191"/>
      <c r="J45" s="191">
        <f>'Ad-Hoc | Data Collection'!$C34</f>
        <v>2500</v>
      </c>
      <c r="K45" s="198"/>
      <c r="L45" s="198" t="s">
        <v>43</v>
      </c>
      <c r="M45" s="198" t="s">
        <v>43</v>
      </c>
      <c r="N45" s="198"/>
      <c r="O45" s="198"/>
      <c r="P45" s="198"/>
      <c r="Q45" s="198"/>
      <c r="R45" s="195" t="s">
        <v>764</v>
      </c>
      <c r="S45" s="200"/>
      <c r="T45" s="195" t="s">
        <v>765</v>
      </c>
      <c r="U45" s="185" t="s">
        <v>849</v>
      </c>
      <c r="V45" s="195" t="s">
        <v>783</v>
      </c>
      <c r="W45" s="201"/>
      <c r="X45" s="195"/>
      <c r="Y45" s="195"/>
      <c r="Z45" s="195"/>
      <c r="AA45" s="195">
        <f t="shared" ref="AA45:AA47" si="6">roundup(AN45,-1)</f>
        <v>580</v>
      </c>
      <c r="AB45" s="195"/>
      <c r="AC45" s="203">
        <v>6.0</v>
      </c>
      <c r="AD45" s="203">
        <v>1.0</v>
      </c>
      <c r="AE45" s="195" t="s">
        <v>844</v>
      </c>
      <c r="AF45" s="195" t="s">
        <v>767</v>
      </c>
      <c r="AG45" s="195" t="s">
        <v>108</v>
      </c>
      <c r="AH45" s="204">
        <v>4.0</v>
      </c>
      <c r="AI45" s="204">
        <v>6.0</v>
      </c>
      <c r="AJ45" s="204"/>
      <c r="AK45" s="204"/>
      <c r="AL45" s="204"/>
      <c r="AM45" s="205"/>
      <c r="AN45" s="205">
        <f>(AH45*'Staff Rates (Internal)'!B$2)+(AI45*'Staff Rates (Internal)'!B$3)+(AJ45*'Staff Rates (Internal)'!B$4)+(AK45*'Staff Rates (Internal)'!B$5)+(AL45*'Staff Rates (Internal)'!B$6)+(AM45*'Staff Rates (Internal)'!B$7)</f>
        <v>573</v>
      </c>
      <c r="AO45" s="206">
        <f>(AH45*'Staff Rates (External)'!B$2)+(AI45*'Staff Rates (External)'!B$3)+(AJ45*'Staff Rates (External)'!B$4)+(AK45*'Staff Rates (External)'!B$5)+(AL45*'Staff Rates (External)'!B$6)+(AM45*'Staff Rates (External)'!B$7)</f>
        <v>2500</v>
      </c>
      <c r="AR45" s="195" t="s">
        <v>43</v>
      </c>
      <c r="AX45" s="204"/>
      <c r="AY45" s="204"/>
      <c r="AZ45" s="204"/>
      <c r="BA45" s="204"/>
      <c r="BB45" s="204"/>
      <c r="BC45" s="204"/>
      <c r="BD45" s="204"/>
      <c r="BE45" s="204"/>
      <c r="BF45" s="204"/>
      <c r="BG45" s="204"/>
      <c r="BH45" s="204"/>
      <c r="BI45" s="204"/>
      <c r="BJ45" s="204"/>
      <c r="BK45" s="204"/>
      <c r="BL45" s="204"/>
      <c r="BM45" s="204"/>
      <c r="BN45" s="204"/>
      <c r="BO45" s="204"/>
      <c r="BP45" s="204"/>
      <c r="BQ45" s="204"/>
      <c r="BR45" s="204"/>
      <c r="BS45" s="204"/>
      <c r="BT45" s="204"/>
      <c r="BU45" s="204"/>
      <c r="BV45" s="204"/>
      <c r="BW45" s="204"/>
      <c r="BX45" s="204"/>
      <c r="BY45" s="204"/>
      <c r="BZ45" s="204"/>
      <c r="CA45" s="204"/>
      <c r="CB45" s="207"/>
      <c r="CC45" s="208" t="str">
        <f t="shared" si="2"/>
        <v>List Send - Unbranded</v>
      </c>
      <c r="CD45" s="208">
        <f t="shared" si="3"/>
        <v>2.4</v>
      </c>
      <c r="CE45" s="203">
        <v>3.0</v>
      </c>
      <c r="CF45" s="203">
        <v>3.0</v>
      </c>
      <c r="CG45" s="203">
        <v>3.0</v>
      </c>
      <c r="CH45" s="203">
        <v>3.0</v>
      </c>
      <c r="CI45" s="203">
        <v>3.0</v>
      </c>
      <c r="CJ45" s="203">
        <v>3.0</v>
      </c>
      <c r="CK45" s="203" t="s">
        <v>43</v>
      </c>
      <c r="CL45" s="203">
        <v>3.0</v>
      </c>
      <c r="CM45" s="209">
        <v>1.0</v>
      </c>
      <c r="CN45" s="203">
        <v>1.0</v>
      </c>
      <c r="CO45" s="203">
        <v>1.0</v>
      </c>
    </row>
    <row r="46" ht="15.75" customHeight="1">
      <c r="A46" s="185" t="s">
        <v>757</v>
      </c>
      <c r="B46" s="185" t="s">
        <v>565</v>
      </c>
      <c r="C46" s="185" t="s">
        <v>70</v>
      </c>
      <c r="D46" s="185" t="s">
        <v>58</v>
      </c>
      <c r="E46" s="195" t="s">
        <v>848</v>
      </c>
      <c r="F46" s="196" t="str">
        <f t="shared" si="1"/>
        <v>RSListSendUnbranded - Standard Plus</v>
      </c>
      <c r="G46" s="196" t="str">
        <f>'Ad-Hoc | Data Collection'!$D33</f>
        <v>Same as Standard except:
3-5 distributions 
Note, if list size is over is 100,000, we may need to use Verias to clean email lists - Recommended for all countries. Required for countries outside of US, Canada, Western Europe, Australia, and New Zealand.
Qualtrics will distribute one (1) survey to one (1) Customer list of respondents via the Qualtrics emailer.
Such list management will include:
Screener and quota setup (simple)
Message creation (no custom HTML formatting)
Up to 5 Invite distributions (e.g., soft launch group and full launch group)
Up to 2 Reminders per distribution group
1 Thank You message (optional)
Total list size up to 350,000 recipients, with real-time send or scheduling
No SMS sends
Delivery Team Responsibilities:
Manage the data collection process overall.
Set up and test survey quotas, screeners, and related logic, and approve the survey prior to launching to targeted respondents. This does not include reviewing additional skip logic or display logic, unless otherwise agreed.
Monitor data collection and send updates to Customer during fielding.
Customer Responsibilities:
Provide cleaned list of respondent email addresses.
Provide 'From [name]' information and 'Reply-To' email address.
Provide subject lines and message text for Invites, Reminders, and Thank You in .doc or Qualtrics format. No HTML or custom formatting is permitted.
Provide all image files in the correct Qualtrics compatible format, resolution, dimensions, and file size. Qualtrics will not source or modify any files.
Manage all respondent requests, follow-ups, and queries.
Assumptions:
Qualtrics is not responsible for the response rate or quality of the list provided and is only responsible for distribution.
Unless otherwise agreed, all survey list sends must originate from Customer’s Qualtrics account.
Unless specified to the Qualtrics project manager before data collection begins, Qualtrics will not record partial completes for this Project in Customer’s Qualtrics account. These partial completes will not count against the total good completes (n) requested for the Project.</v>
      </c>
      <c r="H46" s="220" t="s">
        <v>850</v>
      </c>
      <c r="I46" s="191"/>
      <c r="J46" s="191" t="str">
        <f>'Ad-Hoc | Data Collection'!$D34</f>
        <v>$4,000 (+ 0.002/email if using Verias)</v>
      </c>
      <c r="K46" s="198"/>
      <c r="L46" s="198" t="s">
        <v>43</v>
      </c>
      <c r="M46" s="198" t="s">
        <v>43</v>
      </c>
      <c r="N46" s="198"/>
      <c r="O46" s="198"/>
      <c r="P46" s="198"/>
      <c r="Q46" s="198"/>
      <c r="R46" s="195" t="s">
        <v>764</v>
      </c>
      <c r="S46" s="185" t="s">
        <v>846</v>
      </c>
      <c r="T46" s="195" t="s">
        <v>765</v>
      </c>
      <c r="U46" s="185" t="s">
        <v>849</v>
      </c>
      <c r="V46" s="195" t="s">
        <v>783</v>
      </c>
      <c r="W46" s="201"/>
      <c r="X46" s="195"/>
      <c r="Y46" s="195"/>
      <c r="Z46" s="195"/>
      <c r="AA46" s="195">
        <f t="shared" si="6"/>
        <v>980</v>
      </c>
      <c r="AB46" s="195"/>
      <c r="AC46" s="203">
        <v>6.0</v>
      </c>
      <c r="AD46" s="203">
        <v>1.0</v>
      </c>
      <c r="AE46" s="195" t="s">
        <v>844</v>
      </c>
      <c r="AF46" s="195" t="s">
        <v>767</v>
      </c>
      <c r="AG46" s="195" t="s">
        <v>108</v>
      </c>
      <c r="AH46" s="204">
        <v>4.0</v>
      </c>
      <c r="AI46" s="204">
        <v>12.0</v>
      </c>
      <c r="AJ46" s="204"/>
      <c r="AK46" s="204"/>
      <c r="AL46" s="204"/>
      <c r="AM46" s="205"/>
      <c r="AN46" s="205">
        <f>(AH46*'Staff Rates (Internal)'!B$2)+(AI46*'Staff Rates (Internal)'!B$3)+(AJ46*'Staff Rates (Internal)'!B$4)+(AK46*'Staff Rates (Internal)'!B$5)+(AL46*'Staff Rates (Internal)'!B$6)+(AM46*'Staff Rates (Internal)'!B$7)</f>
        <v>978</v>
      </c>
      <c r="AO46" s="206">
        <f>(AH46*'Staff Rates (External)'!B$2)+(AI46*'Staff Rates (External)'!B$3)+(AJ46*'Staff Rates (External)'!B$4)+(AK46*'Staff Rates (External)'!B$5)+(AL46*'Staff Rates (External)'!B$6)+(AM46*'Staff Rates (External)'!B$7)</f>
        <v>4000</v>
      </c>
      <c r="AR46" s="195" t="s">
        <v>43</v>
      </c>
      <c r="AX46" s="204"/>
      <c r="AY46" s="204"/>
      <c r="AZ46" s="204"/>
      <c r="BA46" s="204"/>
      <c r="BB46" s="204"/>
      <c r="BC46" s="204"/>
      <c r="BD46" s="204"/>
      <c r="BE46" s="204"/>
      <c r="BF46" s="204"/>
      <c r="BG46" s="204"/>
      <c r="BH46" s="204"/>
      <c r="BI46" s="204"/>
      <c r="BJ46" s="204"/>
      <c r="BK46" s="204"/>
      <c r="BL46" s="204"/>
      <c r="BM46" s="204"/>
      <c r="BN46" s="204"/>
      <c r="BO46" s="204"/>
      <c r="BP46" s="204"/>
      <c r="BQ46" s="204"/>
      <c r="BR46" s="204"/>
      <c r="BS46" s="204"/>
      <c r="BT46" s="204"/>
      <c r="BU46" s="204"/>
      <c r="BV46" s="204"/>
      <c r="BW46" s="204"/>
      <c r="BX46" s="204"/>
      <c r="BY46" s="204"/>
      <c r="BZ46" s="204"/>
      <c r="CA46" s="204"/>
      <c r="CB46" s="207"/>
      <c r="CC46" s="208" t="str">
        <f t="shared" si="2"/>
        <v>List Send - Unbranded</v>
      </c>
      <c r="CD46" s="208">
        <f t="shared" si="3"/>
        <v>2.4</v>
      </c>
      <c r="CE46" s="203">
        <v>3.0</v>
      </c>
      <c r="CF46" s="203">
        <v>3.0</v>
      </c>
      <c r="CG46" s="203">
        <v>3.0</v>
      </c>
      <c r="CH46" s="203">
        <v>3.0</v>
      </c>
      <c r="CI46" s="203">
        <v>3.0</v>
      </c>
      <c r="CJ46" s="203">
        <v>3.0</v>
      </c>
      <c r="CK46" s="203" t="s">
        <v>43</v>
      </c>
      <c r="CL46" s="203">
        <v>3.0</v>
      </c>
      <c r="CM46" s="209">
        <v>1.0</v>
      </c>
      <c r="CN46" s="203">
        <v>1.0</v>
      </c>
      <c r="CO46" s="203">
        <v>1.0</v>
      </c>
    </row>
    <row r="47" ht="15.75" customHeight="1">
      <c r="A47" s="185" t="s">
        <v>757</v>
      </c>
      <c r="B47" s="185" t="s">
        <v>565</v>
      </c>
      <c r="C47" s="185" t="s">
        <v>70</v>
      </c>
      <c r="D47" s="185" t="s">
        <v>59</v>
      </c>
      <c r="E47" s="195" t="s">
        <v>848</v>
      </c>
      <c r="F47" s="196" t="str">
        <f t="shared" si="1"/>
        <v>RSListSendUnbranded - Advanced</v>
      </c>
      <c r="G47" s="196" t="str">
        <f>'Ad-Hoc | Data Collection'!$E33</f>
        <v>Same as Standard Plus except:
Custom invites including HTML integration - any email that includes custom HTML coding and is not just a text insertion into our product for our team
5+ distributions 
Over 350,000 recipients. List provided is clean and ready for distribution.
</v>
      </c>
      <c r="H47" s="197" t="s">
        <v>847</v>
      </c>
      <c r="I47" s="191"/>
      <c r="J47" s="191" t="str">
        <f>'Ad-Hoc | Data Collection'!$E34</f>
        <v>$7,500 (+ 0.002/email if using Verias)</v>
      </c>
      <c r="K47" s="198"/>
      <c r="L47" s="198" t="s">
        <v>43</v>
      </c>
      <c r="M47" s="198" t="s">
        <v>43</v>
      </c>
      <c r="N47" s="198"/>
      <c r="O47" s="198"/>
      <c r="P47" s="198"/>
      <c r="Q47" s="198"/>
      <c r="R47" s="195" t="s">
        <v>764</v>
      </c>
      <c r="S47" s="185" t="s">
        <v>846</v>
      </c>
      <c r="T47" s="195" t="s">
        <v>765</v>
      </c>
      <c r="U47" s="185" t="s">
        <v>849</v>
      </c>
      <c r="V47" s="195" t="s">
        <v>783</v>
      </c>
      <c r="W47" s="201"/>
      <c r="X47" s="195"/>
      <c r="Y47" s="195"/>
      <c r="Z47" s="195"/>
      <c r="AA47" s="195">
        <f t="shared" si="6"/>
        <v>1830</v>
      </c>
      <c r="AB47" s="195"/>
      <c r="AC47" s="203">
        <v>6.0</v>
      </c>
      <c r="AD47" s="203">
        <v>1.0</v>
      </c>
      <c r="AE47" s="195" t="s">
        <v>844</v>
      </c>
      <c r="AF47" s="195" t="s">
        <v>767</v>
      </c>
      <c r="AG47" s="195" t="s">
        <v>108</v>
      </c>
      <c r="AH47" s="204">
        <v>8.0</v>
      </c>
      <c r="AI47" s="204">
        <v>22.0</v>
      </c>
      <c r="AJ47" s="204"/>
      <c r="AK47" s="204"/>
      <c r="AL47" s="204"/>
      <c r="AM47" s="205"/>
      <c r="AN47" s="205">
        <f>(AH47*'Staff Rates (Internal)'!B$2)+(AI47*'Staff Rates (Internal)'!B$3)+(AJ47*'Staff Rates (Internal)'!B$4)+(AK47*'Staff Rates (Internal)'!B$5)+(AL47*'Staff Rates (Internal)'!B$6)+(AM47*'Staff Rates (Internal)'!B$7)</f>
        <v>1821</v>
      </c>
      <c r="AO47" s="206">
        <f>(AH47*'Staff Rates (External)'!B$2)+(AI47*'Staff Rates (External)'!B$3)+(AJ47*'Staff Rates (External)'!B$4)+(AK47*'Staff Rates (External)'!B$5)+(AL47*'Staff Rates (External)'!B$6)+(AM47*'Staff Rates (External)'!B$7)</f>
        <v>7500</v>
      </c>
      <c r="AR47" s="195" t="s">
        <v>43</v>
      </c>
      <c r="AX47" s="204"/>
      <c r="AY47" s="204"/>
      <c r="AZ47" s="204"/>
      <c r="BA47" s="204"/>
      <c r="BB47" s="204"/>
      <c r="BC47" s="204"/>
      <c r="BD47" s="204"/>
      <c r="BE47" s="204"/>
      <c r="BF47" s="204"/>
      <c r="BG47" s="204"/>
      <c r="BH47" s="204"/>
      <c r="BI47" s="204"/>
      <c r="BJ47" s="204"/>
      <c r="BK47" s="204"/>
      <c r="BL47" s="204"/>
      <c r="BM47" s="204"/>
      <c r="BN47" s="204"/>
      <c r="BO47" s="204"/>
      <c r="BP47" s="204"/>
      <c r="BQ47" s="204"/>
      <c r="BR47" s="204"/>
      <c r="BS47" s="204"/>
      <c r="BT47" s="204"/>
      <c r="BU47" s="204"/>
      <c r="BV47" s="204"/>
      <c r="BW47" s="204"/>
      <c r="BX47" s="204"/>
      <c r="BY47" s="204"/>
      <c r="BZ47" s="204"/>
      <c r="CA47" s="204"/>
      <c r="CB47" s="207"/>
      <c r="CC47" s="208" t="str">
        <f t="shared" si="2"/>
        <v>List Send - Unbranded</v>
      </c>
      <c r="CD47" s="208">
        <f t="shared" si="3"/>
        <v>2.4</v>
      </c>
      <c r="CE47" s="203">
        <v>3.0</v>
      </c>
      <c r="CF47" s="203">
        <v>3.0</v>
      </c>
      <c r="CG47" s="203">
        <v>3.0</v>
      </c>
      <c r="CH47" s="203">
        <v>3.0</v>
      </c>
      <c r="CI47" s="203">
        <v>3.0</v>
      </c>
      <c r="CJ47" s="203">
        <v>3.0</v>
      </c>
      <c r="CK47" s="203" t="s">
        <v>43</v>
      </c>
      <c r="CL47" s="203">
        <v>3.0</v>
      </c>
      <c r="CM47" s="209">
        <v>1.0</v>
      </c>
      <c r="CN47" s="203">
        <v>1.0</v>
      </c>
      <c r="CO47" s="203">
        <v>1.0</v>
      </c>
    </row>
    <row r="48" ht="15.75" customHeight="1">
      <c r="A48" s="185" t="s">
        <v>757</v>
      </c>
      <c r="B48" s="185" t="s">
        <v>565</v>
      </c>
      <c r="C48" s="185" t="s">
        <v>70</v>
      </c>
      <c r="D48" s="185" t="s">
        <v>60</v>
      </c>
      <c r="E48" s="195" t="s">
        <v>848</v>
      </c>
      <c r="F48" s="196" t="str">
        <f t="shared" si="1"/>
        <v>RSListSendUnbranded - Custom</v>
      </c>
      <c r="G48" s="196" t="str">
        <f>'Ad-Hoc | Data Collection'!$F33</f>
        <v>Branded list send which is more complex than the Advanced option and may include:
Multiple countries
Multiple invitations for different groups
Over 10 Distributions
Email triggers
List sends involving dyads, recontacts, or diaries
</v>
      </c>
      <c r="H48" s="197"/>
      <c r="I48" s="191"/>
      <c r="J48" s="191" t="str">
        <f>'Ad-Hoc | Data Collection'!$F34</f>
        <v>Custom Quote</v>
      </c>
      <c r="K48" s="198"/>
      <c r="L48" s="198" t="s">
        <v>43</v>
      </c>
      <c r="M48" s="198" t="s">
        <v>43</v>
      </c>
      <c r="N48" s="198"/>
      <c r="O48" s="198"/>
      <c r="P48" s="198"/>
      <c r="Q48" s="198"/>
      <c r="R48" s="195" t="s">
        <v>764</v>
      </c>
      <c r="S48" s="185" t="s">
        <v>846</v>
      </c>
      <c r="T48" s="195" t="s">
        <v>765</v>
      </c>
      <c r="U48" s="185" t="s">
        <v>849</v>
      </c>
      <c r="V48" s="195" t="s">
        <v>783</v>
      </c>
      <c r="W48" s="201"/>
      <c r="X48" s="195"/>
      <c r="Y48" s="195"/>
      <c r="Z48" s="195"/>
      <c r="AA48" s="195"/>
      <c r="AB48" s="195"/>
      <c r="AC48" s="203">
        <v>6.0</v>
      </c>
      <c r="AD48" s="203">
        <v>1.0</v>
      </c>
      <c r="AE48" s="195" t="s">
        <v>844</v>
      </c>
      <c r="AF48" s="195" t="s">
        <v>767</v>
      </c>
      <c r="AG48" s="195" t="s">
        <v>108</v>
      </c>
      <c r="AH48" s="204">
        <v>8.0</v>
      </c>
      <c r="AI48" s="204">
        <v>22.0</v>
      </c>
      <c r="AJ48" s="204"/>
      <c r="AK48" s="204"/>
      <c r="AL48" s="204"/>
      <c r="AM48" s="205"/>
      <c r="AN48" s="205">
        <f>(AH48*'Staff Rates (Internal)'!B$2)+(AI48*'Staff Rates (Internal)'!B$3)+(AJ48*'Staff Rates (Internal)'!B$4)+(AK48*'Staff Rates (Internal)'!B$5)+(AL48*'Staff Rates (Internal)'!B$6)+(AM48*'Staff Rates (Internal)'!B$7)</f>
        <v>1821</v>
      </c>
      <c r="AO48" s="206">
        <f>(AH48*'Staff Rates (External)'!B$2)+(AI48*'Staff Rates (External)'!B$3)+(AJ48*'Staff Rates (External)'!B$4)+(AK48*'Staff Rates (External)'!B$5)+(AL48*'Staff Rates (External)'!B$6)+(AM48*'Staff Rates (External)'!B$7)</f>
        <v>7500</v>
      </c>
      <c r="AR48" s="195" t="s">
        <v>43</v>
      </c>
      <c r="AX48" s="204"/>
      <c r="AY48" s="204"/>
      <c r="AZ48" s="204"/>
      <c r="BA48" s="204"/>
      <c r="BB48" s="204"/>
      <c r="BC48" s="204"/>
      <c r="BD48" s="204"/>
      <c r="BE48" s="204"/>
      <c r="BF48" s="204"/>
      <c r="BG48" s="204"/>
      <c r="BH48" s="204"/>
      <c r="BI48" s="204"/>
      <c r="BJ48" s="204"/>
      <c r="BK48" s="204"/>
      <c r="BL48" s="204"/>
      <c r="BM48" s="204"/>
      <c r="BN48" s="204"/>
      <c r="BO48" s="204"/>
      <c r="BP48" s="204"/>
      <c r="BQ48" s="204"/>
      <c r="BR48" s="204"/>
      <c r="BS48" s="204"/>
      <c r="BT48" s="204"/>
      <c r="BU48" s="204"/>
      <c r="BV48" s="204"/>
      <c r="BW48" s="204"/>
      <c r="BX48" s="204"/>
      <c r="BY48" s="204"/>
      <c r="BZ48" s="204"/>
      <c r="CA48" s="204"/>
      <c r="CB48" s="207"/>
      <c r="CC48" s="208" t="str">
        <f t="shared" si="2"/>
        <v>List Send - Unbranded</v>
      </c>
      <c r="CD48" s="208">
        <f t="shared" si="3"/>
        <v>2.090909091</v>
      </c>
      <c r="CE48" s="203">
        <v>1.0</v>
      </c>
      <c r="CF48" s="203">
        <v>1.0</v>
      </c>
      <c r="CG48" s="203">
        <v>3.0</v>
      </c>
      <c r="CH48" s="203">
        <v>3.0</v>
      </c>
      <c r="CI48" s="203">
        <v>3.0</v>
      </c>
      <c r="CJ48" s="203">
        <v>3.0</v>
      </c>
      <c r="CK48" s="203">
        <v>3.0</v>
      </c>
      <c r="CL48" s="203">
        <v>3.0</v>
      </c>
      <c r="CM48" s="209">
        <v>1.0</v>
      </c>
      <c r="CN48" s="203">
        <v>1.0</v>
      </c>
      <c r="CO48" s="203">
        <v>1.0</v>
      </c>
    </row>
    <row r="49" ht="15.75" customHeight="1">
      <c r="A49" s="185" t="s">
        <v>757</v>
      </c>
      <c r="B49" s="185" t="s">
        <v>565</v>
      </c>
      <c r="C49" s="185" t="s">
        <v>71</v>
      </c>
      <c r="D49" s="185" t="s">
        <v>56</v>
      </c>
      <c r="E49" s="195" t="s">
        <v>851</v>
      </c>
      <c r="F49" s="196" t="str">
        <f t="shared" si="1"/>
        <v>RServIMD - Standard</v>
      </c>
      <c r="G49" s="196" t="str">
        <f>'Ad-Hoc | Data Collection'!$C37</f>
        <v>Sending out gift cards or other incentives to a specific list of people who completes the survey (identified through use of customer lists or PII asked in the survey)</v>
      </c>
      <c r="H49" s="197" t="s">
        <v>852</v>
      </c>
      <c r="I49" s="191"/>
      <c r="J49" s="191" t="str">
        <f>'Ad-Hoc | Data Collection'!$C38</f>
        <v>$1,500  or 15% of total incentive amount, whichever is greater</v>
      </c>
      <c r="K49" s="198"/>
      <c r="L49" s="198"/>
      <c r="M49" s="198"/>
      <c r="N49" s="198"/>
      <c r="O49" s="198"/>
      <c r="P49" s="198"/>
      <c r="Q49" s="198"/>
      <c r="R49" s="195" t="s">
        <v>764</v>
      </c>
      <c r="S49" s="200"/>
      <c r="T49" s="195" t="s">
        <v>765</v>
      </c>
      <c r="U49" s="195" t="s">
        <v>765</v>
      </c>
      <c r="V49" s="195" t="s">
        <v>765</v>
      </c>
      <c r="W49" s="201"/>
      <c r="X49" s="195"/>
      <c r="Y49" s="195"/>
      <c r="Z49" s="195"/>
      <c r="AA49" s="195"/>
      <c r="AB49" s="195"/>
      <c r="AC49" s="203">
        <v>6.0</v>
      </c>
      <c r="AD49" s="203">
        <v>1.0</v>
      </c>
      <c r="AE49" s="195" t="s">
        <v>844</v>
      </c>
      <c r="AF49" s="195" t="s">
        <v>767</v>
      </c>
      <c r="AG49" s="195" t="s">
        <v>108</v>
      </c>
      <c r="AH49" s="204">
        <v>2.0</v>
      </c>
      <c r="AI49" s="204">
        <v>4.0</v>
      </c>
      <c r="AJ49" s="204"/>
      <c r="AK49" s="204"/>
      <c r="AL49" s="204"/>
      <c r="AM49" s="205"/>
      <c r="AN49" s="205">
        <f>(AH49*'Staff Rates (Internal)'!B$2)+(AI49*'Staff Rates (Internal)'!B$3)+(AJ49*'Staff Rates (Internal)'!B$4)+(AK49*'Staff Rates (Internal)'!B$5)+(AL49*'Staff Rates (Internal)'!B$6)+(AM49*'Staff Rates (Internal)'!B$7)</f>
        <v>354</v>
      </c>
      <c r="AO49" s="206">
        <f>(AH49*'Staff Rates (External)'!B$2)+(AI49*'Staff Rates (External)'!B$3)+(AJ49*'Staff Rates (External)'!B$4)+(AK49*'Staff Rates (External)'!B$5)+(AL49*'Staff Rates (External)'!B$6)+(AM49*'Staff Rates (External)'!B$7)</f>
        <v>1500</v>
      </c>
      <c r="AR49" s="195" t="s">
        <v>853</v>
      </c>
      <c r="AS49" s="195" t="s">
        <v>854</v>
      </c>
      <c r="AX49" s="204"/>
      <c r="AY49" s="204"/>
      <c r="AZ49" s="204"/>
      <c r="BA49" s="204"/>
      <c r="BB49" s="204"/>
      <c r="BC49" s="204"/>
      <c r="BD49" s="204"/>
      <c r="BE49" s="204"/>
      <c r="BF49" s="204"/>
      <c r="BG49" s="204"/>
      <c r="BH49" s="204"/>
      <c r="BI49" s="204"/>
      <c r="BJ49" s="204"/>
      <c r="BK49" s="204"/>
      <c r="BL49" s="204"/>
      <c r="BM49" s="204"/>
      <c r="BN49" s="204"/>
      <c r="BO49" s="204"/>
      <c r="BP49" s="204"/>
      <c r="BQ49" s="204"/>
      <c r="BR49" s="204"/>
      <c r="BS49" s="204"/>
      <c r="BT49" s="204"/>
      <c r="BU49" s="204"/>
      <c r="BV49" s="204"/>
      <c r="BW49" s="204"/>
      <c r="BX49" s="204"/>
      <c r="BY49" s="204"/>
      <c r="BZ49" s="204"/>
      <c r="CA49" s="204"/>
      <c r="CB49" s="207"/>
      <c r="CC49" s="208" t="str">
        <f t="shared" si="2"/>
        <v>Incentive Management</v>
      </c>
      <c r="CD49" s="208">
        <f t="shared" si="3"/>
        <v>2.272727273</v>
      </c>
      <c r="CE49" s="203">
        <v>3.0</v>
      </c>
      <c r="CF49" s="203">
        <v>3.0</v>
      </c>
      <c r="CG49" s="203">
        <v>3.0</v>
      </c>
      <c r="CH49" s="203">
        <v>2.0</v>
      </c>
      <c r="CI49" s="203">
        <v>3.0</v>
      </c>
      <c r="CJ49" s="203">
        <v>2.0</v>
      </c>
      <c r="CK49" s="203">
        <v>3.0</v>
      </c>
      <c r="CL49" s="203">
        <v>3.0</v>
      </c>
      <c r="CM49" s="209">
        <v>1.0</v>
      </c>
      <c r="CN49" s="203">
        <v>1.0</v>
      </c>
      <c r="CO49" s="203">
        <v>1.0</v>
      </c>
    </row>
    <row r="50" ht="15.75" customHeight="1">
      <c r="A50" s="185" t="s">
        <v>757</v>
      </c>
      <c r="B50" s="185" t="s">
        <v>565</v>
      </c>
      <c r="C50" s="185" t="s">
        <v>74</v>
      </c>
      <c r="D50" s="185" t="s">
        <v>56</v>
      </c>
      <c r="E50" s="195" t="s">
        <v>855</v>
      </c>
      <c r="F50" s="196" t="str">
        <f t="shared" si="1"/>
        <v>RServThrdPrtyIntegrat - Standard</v>
      </c>
      <c r="G50" s="196" t="str">
        <f>'Ad-Hoc | Data Collection'!$C45</f>
        <v>Integration with or redirecting to/from a 3rd party platform. 
Easy integration that has been done many times before. Anything not on this list would be Tier 2.
Max of 2 quotas on the overall sample.
Platforms included: 
- Sawtooth
- Millisecond/Inquisit
- Dialsmith
- VoxPopMe</v>
      </c>
      <c r="H50" s="221" t="s">
        <v>856</v>
      </c>
      <c r="I50" s="191"/>
      <c r="J50" s="191">
        <f>'Ad-Hoc | Data Collection'!$C46</f>
        <v>1500</v>
      </c>
      <c r="K50" s="198"/>
      <c r="L50" s="198"/>
      <c r="M50" s="198"/>
      <c r="N50" s="198"/>
      <c r="O50" s="198"/>
      <c r="P50" s="198"/>
      <c r="Q50" s="198"/>
      <c r="R50" s="195" t="s">
        <v>764</v>
      </c>
      <c r="S50" s="200"/>
      <c r="T50" s="195" t="s">
        <v>765</v>
      </c>
      <c r="U50" s="195" t="s">
        <v>765</v>
      </c>
      <c r="V50" s="195" t="s">
        <v>765</v>
      </c>
      <c r="W50" s="201"/>
      <c r="X50" s="195"/>
      <c r="Y50" s="195"/>
      <c r="Z50" s="195"/>
      <c r="AA50" s="195">
        <f t="shared" ref="AA50:AA52" si="7">roundup(AN50,-1)</f>
        <v>310</v>
      </c>
      <c r="AB50" s="195"/>
      <c r="AC50" s="203">
        <v>6.0</v>
      </c>
      <c r="AD50" s="203">
        <v>1.0</v>
      </c>
      <c r="AE50" s="195" t="s">
        <v>857</v>
      </c>
      <c r="AF50" s="195" t="s">
        <v>767</v>
      </c>
      <c r="AG50" s="195" t="s">
        <v>108</v>
      </c>
      <c r="AH50" s="204">
        <v>4.0</v>
      </c>
      <c r="AI50" s="204">
        <v>2.0</v>
      </c>
      <c r="AJ50" s="204"/>
      <c r="AK50" s="204"/>
      <c r="AL50" s="204"/>
      <c r="AM50" s="205"/>
      <c r="AN50" s="205">
        <f>(AH50*'Staff Rates (Internal)'!B$2)+(AI50*'Staff Rates (Internal)'!B$3)+(AJ50*'Staff Rates (Internal)'!B$4)+(AK50*'Staff Rates (Internal)'!B$5)+(AL50*'Staff Rates (Internal)'!B$6)+(AM50*'Staff Rates (Internal)'!B$7)</f>
        <v>303</v>
      </c>
      <c r="AO50" s="206">
        <f>(AH50*'Staff Rates (External)'!B$2)+(AI50*'Staff Rates (External)'!B$3)+(AJ50*'Staff Rates (External)'!B$4)+(AK50*'Staff Rates (External)'!B$5)+(AL50*'Staff Rates (External)'!B$6)+(AM50*'Staff Rates (External)'!B$7)</f>
        <v>1500</v>
      </c>
      <c r="AR50" s="195" t="s">
        <v>43</v>
      </c>
      <c r="AX50" s="204"/>
      <c r="AY50" s="204"/>
      <c r="AZ50" s="204"/>
      <c r="BA50" s="204"/>
      <c r="BB50" s="204"/>
      <c r="BC50" s="204"/>
      <c r="BD50" s="204"/>
      <c r="BE50" s="204"/>
      <c r="BF50" s="204"/>
      <c r="BG50" s="204"/>
      <c r="BH50" s="204"/>
      <c r="BI50" s="204"/>
      <c r="BJ50" s="204"/>
      <c r="BK50" s="204"/>
      <c r="BL50" s="204"/>
      <c r="BM50" s="204"/>
      <c r="BN50" s="204"/>
      <c r="BO50" s="204"/>
      <c r="BP50" s="204"/>
      <c r="BQ50" s="204"/>
      <c r="BR50" s="204"/>
      <c r="BS50" s="204"/>
      <c r="BT50" s="204"/>
      <c r="BU50" s="204"/>
      <c r="BV50" s="204"/>
      <c r="BW50" s="204"/>
      <c r="BX50" s="204"/>
      <c r="BY50" s="204"/>
      <c r="BZ50" s="204"/>
      <c r="CA50" s="204"/>
      <c r="CB50" s="207"/>
      <c r="CC50" s="208" t="str">
        <f t="shared" si="2"/>
        <v>3rd Party Integration</v>
      </c>
      <c r="CD50" s="208">
        <f t="shared" si="3"/>
        <v>2.5</v>
      </c>
      <c r="CE50" s="203">
        <v>3.0</v>
      </c>
      <c r="CF50" s="203">
        <v>3.0</v>
      </c>
      <c r="CG50" s="203">
        <v>3.0</v>
      </c>
      <c r="CH50" s="203">
        <v>2.0</v>
      </c>
      <c r="CI50" s="203">
        <v>3.0</v>
      </c>
      <c r="CJ50" s="203">
        <v>3.0</v>
      </c>
      <c r="CK50" s="203" t="s">
        <v>43</v>
      </c>
      <c r="CL50" s="203">
        <v>3.0</v>
      </c>
      <c r="CM50" s="209">
        <v>1.0</v>
      </c>
      <c r="CN50" s="203">
        <v>3.0</v>
      </c>
      <c r="CO50" s="203">
        <v>1.0</v>
      </c>
    </row>
    <row r="51" ht="15.75" customHeight="1">
      <c r="A51" s="185" t="s">
        <v>757</v>
      </c>
      <c r="B51" s="185" t="s">
        <v>565</v>
      </c>
      <c r="C51" s="185" t="s">
        <v>74</v>
      </c>
      <c r="D51" s="185" t="s">
        <v>58</v>
      </c>
      <c r="E51" s="195" t="s">
        <v>855</v>
      </c>
      <c r="F51" s="222" t="s">
        <v>858</v>
      </c>
      <c r="G51" s="196" t="str">
        <f>'Ad-Hoc | Data Collection'!$D45</f>
        <v>Moderate difficulty or we have never integrated before. This includes:
- Custom websites that the customer built
- Most Academic integrations
- No other complex requirements besides passing into and out of the third party survey</v>
      </c>
      <c r="H51" s="221" t="s">
        <v>856</v>
      </c>
      <c r="I51" s="191"/>
      <c r="J51" s="191">
        <f>'Ad-Hoc | Data Collection'!$D46</f>
        <v>3000</v>
      </c>
      <c r="K51" s="198"/>
      <c r="L51" s="198"/>
      <c r="M51" s="198"/>
      <c r="N51" s="198"/>
      <c r="O51" s="198"/>
      <c r="P51" s="198"/>
      <c r="Q51" s="198"/>
      <c r="R51" s="195" t="s">
        <v>764</v>
      </c>
      <c r="S51" s="200"/>
      <c r="T51" s="195" t="s">
        <v>765</v>
      </c>
      <c r="U51" s="195" t="s">
        <v>765</v>
      </c>
      <c r="V51" s="195" t="s">
        <v>765</v>
      </c>
      <c r="W51" s="201"/>
      <c r="X51" s="195"/>
      <c r="Y51" s="195"/>
      <c r="Z51" s="195"/>
      <c r="AA51" s="195">
        <f t="shared" si="7"/>
        <v>660</v>
      </c>
      <c r="AB51" s="195"/>
      <c r="AC51" s="203">
        <v>6.0</v>
      </c>
      <c r="AD51" s="203">
        <v>1.0</v>
      </c>
      <c r="AE51" s="195" t="s">
        <v>857</v>
      </c>
      <c r="AF51" s="195" t="s">
        <v>767</v>
      </c>
      <c r="AG51" s="195" t="s">
        <v>108</v>
      </c>
      <c r="AH51" s="204">
        <v>6.0</v>
      </c>
      <c r="AI51" s="204">
        <v>6.0</v>
      </c>
      <c r="AJ51" s="204"/>
      <c r="AK51" s="204"/>
      <c r="AL51" s="204"/>
      <c r="AM51" s="205"/>
      <c r="AN51" s="205">
        <f>(AH51*'Staff Rates (Internal)'!B$2)+(AI51*'Staff Rates (Internal)'!B$3)+(AJ51*'Staff Rates (Internal)'!B$4)+(AK51*'Staff Rates (Internal)'!B$5)+(AL51*'Staff Rates (Internal)'!B$6)+(AM51*'Staff Rates (Internal)'!B$7)</f>
        <v>657</v>
      </c>
      <c r="AO51" s="206">
        <f>(AH51*'Staff Rates (External)'!B$2)+(AI51*'Staff Rates (External)'!B$3)+(AJ51*'Staff Rates (External)'!B$4)+(AK51*'Staff Rates (External)'!B$5)+(AL51*'Staff Rates (External)'!B$6)+(AM51*'Staff Rates (External)'!B$7)</f>
        <v>3000</v>
      </c>
      <c r="AR51" s="195" t="s">
        <v>43</v>
      </c>
      <c r="AX51" s="204"/>
      <c r="AY51" s="204"/>
      <c r="AZ51" s="204"/>
      <c r="BA51" s="204"/>
      <c r="BB51" s="204"/>
      <c r="BC51" s="204"/>
      <c r="BD51" s="204"/>
      <c r="BE51" s="204"/>
      <c r="BF51" s="204"/>
      <c r="BG51" s="204"/>
      <c r="BH51" s="204"/>
      <c r="BI51" s="204"/>
      <c r="BJ51" s="204"/>
      <c r="BK51" s="204"/>
      <c r="BL51" s="204"/>
      <c r="BM51" s="204"/>
      <c r="BN51" s="204"/>
      <c r="BO51" s="204"/>
      <c r="BP51" s="204"/>
      <c r="BQ51" s="204"/>
      <c r="BR51" s="204"/>
      <c r="BS51" s="204"/>
      <c r="BT51" s="204"/>
      <c r="BU51" s="204"/>
      <c r="BV51" s="204"/>
      <c r="BW51" s="204"/>
      <c r="BX51" s="204"/>
      <c r="BY51" s="204"/>
      <c r="BZ51" s="204"/>
      <c r="CA51" s="204"/>
      <c r="CB51" s="207"/>
      <c r="CC51" s="208" t="str">
        <f t="shared" si="2"/>
        <v>3rd Party Integration</v>
      </c>
      <c r="CD51" s="208">
        <f t="shared" si="3"/>
        <v>2.5</v>
      </c>
      <c r="CE51" s="203">
        <v>3.0</v>
      </c>
      <c r="CF51" s="203">
        <v>3.0</v>
      </c>
      <c r="CG51" s="203">
        <v>3.0</v>
      </c>
      <c r="CH51" s="203">
        <v>2.0</v>
      </c>
      <c r="CI51" s="203">
        <v>3.0</v>
      </c>
      <c r="CJ51" s="203">
        <v>3.0</v>
      </c>
      <c r="CK51" s="203" t="s">
        <v>43</v>
      </c>
      <c r="CL51" s="203">
        <v>3.0</v>
      </c>
      <c r="CM51" s="209">
        <v>1.0</v>
      </c>
      <c r="CN51" s="203">
        <v>3.0</v>
      </c>
      <c r="CO51" s="203">
        <v>1.0</v>
      </c>
    </row>
    <row r="52" ht="15.75" customHeight="1">
      <c r="A52" s="185" t="s">
        <v>757</v>
      </c>
      <c r="B52" s="185" t="s">
        <v>565</v>
      </c>
      <c r="C52" s="185" t="s">
        <v>74</v>
      </c>
      <c r="D52" s="185" t="s">
        <v>59</v>
      </c>
      <c r="E52" s="195" t="s">
        <v>855</v>
      </c>
      <c r="F52" s="196" t="str">
        <f t="shared" ref="F52:F158" si="8">E52&amp;" - "&amp;D52</f>
        <v>RServThrdPrtyIntegrat - Advanced</v>
      </c>
      <c r="G52" s="196" t="str">
        <f>'Ad-Hoc | Data Collection'!$E45</f>
        <v>Difficult and complex integrations. This includes (but is not limited to): 
-Setups that require 2+ phone calls with the PM to scope and setup the integration
-Other pieces such as multiple links that the customer is redirecting to (this includes randomization requirements, quotas on the integration etc.)
-3+ quotas on overall sample 
-Surveys with a total LOI of 30+ minutes
-Surveys where the participants spend more than 15 minutes in the third party portion
-Surveys with an IR under 20%
</v>
      </c>
      <c r="H52" s="221" t="s">
        <v>856</v>
      </c>
      <c r="I52" s="191"/>
      <c r="J52" s="191">
        <f>'Ad-Hoc | Data Collection'!$E46</f>
        <v>5000</v>
      </c>
      <c r="K52" s="198"/>
      <c r="L52" s="198"/>
      <c r="M52" s="198"/>
      <c r="N52" s="198"/>
      <c r="O52" s="198"/>
      <c r="P52" s="198"/>
      <c r="Q52" s="198"/>
      <c r="R52" s="195" t="s">
        <v>764</v>
      </c>
      <c r="S52" s="200"/>
      <c r="T52" s="195" t="s">
        <v>765</v>
      </c>
      <c r="U52" s="195" t="s">
        <v>765</v>
      </c>
      <c r="V52" s="195" t="s">
        <v>765</v>
      </c>
      <c r="W52" s="201"/>
      <c r="X52" s="195"/>
      <c r="Y52" s="195"/>
      <c r="Z52" s="195"/>
      <c r="AA52" s="195">
        <f t="shared" si="7"/>
        <v>1250</v>
      </c>
      <c r="AB52" s="195"/>
      <c r="AC52" s="203">
        <v>6.0</v>
      </c>
      <c r="AD52" s="203">
        <v>1.0</v>
      </c>
      <c r="AE52" s="195" t="s">
        <v>857</v>
      </c>
      <c r="AF52" s="195" t="s">
        <v>767</v>
      </c>
      <c r="AG52" s="195" t="s">
        <v>108</v>
      </c>
      <c r="AH52" s="204">
        <v>4.0</v>
      </c>
      <c r="AI52" s="204">
        <v>16.0</v>
      </c>
      <c r="AJ52" s="204"/>
      <c r="AK52" s="204"/>
      <c r="AL52" s="204"/>
      <c r="AM52" s="205"/>
      <c r="AN52" s="205">
        <f>(AH52*'Staff Rates (Internal)'!B$2)+(AI52*'Staff Rates (Internal)'!B$3)+(AJ52*'Staff Rates (Internal)'!B$4)+(AK52*'Staff Rates (Internal)'!B$5)+(AL52*'Staff Rates (Internal)'!B$6)+(AM52*'Staff Rates (Internal)'!B$7)</f>
        <v>1248</v>
      </c>
      <c r="AO52" s="206">
        <f>(AH52*'Staff Rates (External)'!B$2)+(AI52*'Staff Rates (External)'!B$3)+(AJ52*'Staff Rates (External)'!B$4)+(AK52*'Staff Rates (External)'!B$5)+(AL52*'Staff Rates (External)'!B$6)+(AM52*'Staff Rates (External)'!B$7)</f>
        <v>5000</v>
      </c>
      <c r="AR52" s="195" t="s">
        <v>43</v>
      </c>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c r="BU52" s="204"/>
      <c r="BV52" s="204"/>
      <c r="BW52" s="204"/>
      <c r="BX52" s="204"/>
      <c r="BY52" s="204"/>
      <c r="BZ52" s="204"/>
      <c r="CA52" s="204"/>
      <c r="CB52" s="207"/>
      <c r="CC52" s="208" t="str">
        <f t="shared" si="2"/>
        <v>3rd Party Integration</v>
      </c>
      <c r="CD52" s="208">
        <f t="shared" si="3"/>
        <v>2.5</v>
      </c>
      <c r="CE52" s="203">
        <v>3.0</v>
      </c>
      <c r="CF52" s="203">
        <v>3.0</v>
      </c>
      <c r="CG52" s="203">
        <v>3.0</v>
      </c>
      <c r="CH52" s="203">
        <v>2.0</v>
      </c>
      <c r="CI52" s="203">
        <v>3.0</v>
      </c>
      <c r="CJ52" s="203">
        <v>3.0</v>
      </c>
      <c r="CK52" s="203" t="s">
        <v>43</v>
      </c>
      <c r="CL52" s="203">
        <v>3.0</v>
      </c>
      <c r="CM52" s="209">
        <v>1.0</v>
      </c>
      <c r="CN52" s="203">
        <v>3.0</v>
      </c>
      <c r="CO52" s="203">
        <v>1.0</v>
      </c>
    </row>
    <row r="53" ht="15.75" customHeight="1">
      <c r="A53" s="185" t="s">
        <v>757</v>
      </c>
      <c r="B53" s="185" t="s">
        <v>565</v>
      </c>
      <c r="C53" s="185" t="s">
        <v>75</v>
      </c>
      <c r="D53" s="185" t="s">
        <v>56</v>
      </c>
      <c r="E53" s="195" t="s">
        <v>859</v>
      </c>
      <c r="F53" s="196" t="str">
        <f t="shared" si="8"/>
        <v>RServDataAppend - Standard</v>
      </c>
      <c r="G53" s="196" t="str">
        <f>'Ad-Hoc | Data Collection'!$C49</f>
        <v>Appending basic panel demographic data after data collection is completed. 
1 time append only (if appending once partway through and again at the end, charge for this twice. However, appending Age, Gender, and Race at the same time is just 1 charge).
Demographics for Tier 1 Include any or all of the following:
Age
Gender
Education
Race/ethnicity
Marital status
Postal code</v>
      </c>
      <c r="H53" s="197"/>
      <c r="I53" s="191"/>
      <c r="J53" s="191" t="str">
        <f>'Ad-Hoc | Data Collection'!$C50</f>
        <v>$1000 per append for Dynata or Lucid</v>
      </c>
      <c r="K53" s="198"/>
      <c r="L53" s="198"/>
      <c r="M53" s="198"/>
      <c r="N53" s="198"/>
      <c r="O53" s="198"/>
      <c r="P53" s="198"/>
      <c r="Q53" s="198"/>
      <c r="R53" s="195" t="s">
        <v>860</v>
      </c>
      <c r="S53" s="200"/>
      <c r="T53" s="195" t="s">
        <v>765</v>
      </c>
      <c r="U53" s="195" t="s">
        <v>765</v>
      </c>
      <c r="V53" s="195" t="s">
        <v>765</v>
      </c>
      <c r="W53" s="201"/>
      <c r="X53" s="206">
        <v>400.0</v>
      </c>
      <c r="Y53" s="195" t="s">
        <v>860</v>
      </c>
      <c r="Z53" s="195"/>
      <c r="AA53" s="195"/>
      <c r="AB53" s="195"/>
      <c r="AC53" s="203">
        <v>4.0</v>
      </c>
      <c r="AD53" s="203">
        <v>1.0</v>
      </c>
      <c r="AE53" s="195" t="s">
        <v>861</v>
      </c>
      <c r="AF53" s="195" t="s">
        <v>768</v>
      </c>
      <c r="AG53" s="195" t="s">
        <v>108</v>
      </c>
      <c r="AH53" s="204"/>
      <c r="AI53" s="204">
        <v>2.0</v>
      </c>
      <c r="AJ53" s="204"/>
      <c r="AK53" s="204"/>
      <c r="AL53" s="204"/>
      <c r="AM53" s="205"/>
      <c r="AN53" s="205">
        <f>(AH53*'Staff Rates (Internal)'!B$2)+(AI53*'Staff Rates (Internal)'!B$3)+(AJ53*'Staff Rates (Internal)'!B$4)+(AK53*'Staff Rates (Internal)'!B$5)+(AL53*'Staff Rates (Internal)'!B$6)+(AM53*'Staff Rates (Internal)'!B$7)</f>
        <v>135</v>
      </c>
      <c r="AO53" s="206">
        <f>(AH53*'Staff Rates (External)'!B$2)+(AI53*'Staff Rates (External)'!B$3)+(AJ53*'Staff Rates (External)'!B$4)+(AK53*'Staff Rates (External)'!B$5)+(AL53*'Staff Rates (External)'!B$6)+(AM53*'Staff Rates (External)'!B$7)</f>
        <v>500</v>
      </c>
      <c r="AR53" s="195" t="s">
        <v>830</v>
      </c>
      <c r="AX53" s="204"/>
      <c r="AY53" s="204"/>
      <c r="AZ53" s="204"/>
      <c r="BA53" s="204"/>
      <c r="BB53" s="204"/>
      <c r="BC53" s="204"/>
      <c r="BD53" s="204"/>
      <c r="BE53" s="204"/>
      <c r="BF53" s="204"/>
      <c r="BG53" s="204"/>
      <c r="BH53" s="204"/>
      <c r="BI53" s="204"/>
      <c r="BJ53" s="204"/>
      <c r="BK53" s="204"/>
      <c r="BL53" s="204"/>
      <c r="BM53" s="204"/>
      <c r="BN53" s="204"/>
      <c r="BO53" s="204"/>
      <c r="BP53" s="204"/>
      <c r="BQ53" s="204"/>
      <c r="BR53" s="204"/>
      <c r="BS53" s="204"/>
      <c r="BT53" s="204"/>
      <c r="BU53" s="204"/>
      <c r="BV53" s="204"/>
      <c r="BW53" s="204"/>
      <c r="BX53" s="204"/>
      <c r="BY53" s="204"/>
      <c r="BZ53" s="204"/>
      <c r="CA53" s="204"/>
      <c r="CB53" s="207"/>
      <c r="CC53" s="208" t="str">
        <f t="shared" si="2"/>
        <v>Data Appends</v>
      </c>
      <c r="CD53" s="208">
        <f t="shared" si="3"/>
        <v>1.727272727</v>
      </c>
      <c r="CE53" s="203">
        <v>3.0</v>
      </c>
      <c r="CF53" s="203">
        <v>1.0</v>
      </c>
      <c r="CG53" s="203">
        <v>3.0</v>
      </c>
      <c r="CH53" s="203">
        <v>1.0</v>
      </c>
      <c r="CI53" s="203">
        <v>2.0</v>
      </c>
      <c r="CJ53" s="203">
        <v>1.0</v>
      </c>
      <c r="CK53" s="203">
        <v>2.0</v>
      </c>
      <c r="CL53" s="203">
        <v>3.0</v>
      </c>
      <c r="CM53" s="209">
        <v>1.0</v>
      </c>
      <c r="CN53" s="203">
        <v>1.0</v>
      </c>
      <c r="CO53" s="203">
        <v>1.0</v>
      </c>
    </row>
    <row r="54" ht="15.75" customHeight="1">
      <c r="A54" s="185" t="s">
        <v>757</v>
      </c>
      <c r="B54" s="185" t="s">
        <v>565</v>
      </c>
      <c r="C54" s="185" t="s">
        <v>75</v>
      </c>
      <c r="D54" s="185" t="s">
        <v>58</v>
      </c>
      <c r="E54" s="195" t="s">
        <v>859</v>
      </c>
      <c r="F54" s="196" t="str">
        <f t="shared" si="8"/>
        <v>RServDataAppend - Standard Plus</v>
      </c>
      <c r="G54" s="196" t="str">
        <f>'Ad-Hoc | Data Collection'!$D49</f>
        <v>Appending demographics or panel variables after data collection is completed.
1 time append only (if appending once partway through and again at the end, charge for this twice. However, appending Age, Gender, and Race at the same time is just 1 charge).
Variables included in this tier include any of the following:
Tier 1 Demographics
HH Income
HH Size
Other Household level demographics
Consumer technology variables
Auto variables</v>
      </c>
      <c r="H54" s="197"/>
      <c r="I54" s="191"/>
      <c r="J54" s="191" t="str">
        <f>'Ad-Hoc | Data Collection'!$D50</f>
        <v>$2500 per append for Dynata or Lucid</v>
      </c>
      <c r="K54" s="198"/>
      <c r="L54" s="198"/>
      <c r="M54" s="198"/>
      <c r="N54" s="198"/>
      <c r="O54" s="198"/>
      <c r="P54" s="198"/>
      <c r="Q54" s="198"/>
      <c r="R54" s="195" t="s">
        <v>860</v>
      </c>
      <c r="S54" s="200"/>
      <c r="T54" s="195" t="s">
        <v>765</v>
      </c>
      <c r="U54" s="195" t="s">
        <v>765</v>
      </c>
      <c r="V54" s="195" t="s">
        <v>765</v>
      </c>
      <c r="W54" s="201"/>
      <c r="X54" s="206">
        <v>1000.0</v>
      </c>
      <c r="Y54" s="195" t="s">
        <v>860</v>
      </c>
      <c r="Z54" s="195"/>
      <c r="AA54" s="195"/>
      <c r="AB54" s="195"/>
      <c r="AC54" s="203">
        <v>4.0</v>
      </c>
      <c r="AD54" s="203">
        <v>1.0</v>
      </c>
      <c r="AE54" s="195" t="s">
        <v>861</v>
      </c>
      <c r="AF54" s="195" t="s">
        <v>768</v>
      </c>
      <c r="AG54" s="195" t="s">
        <v>108</v>
      </c>
      <c r="AH54" s="204"/>
      <c r="AI54" s="204">
        <v>4.0</v>
      </c>
      <c r="AJ54" s="204"/>
      <c r="AK54" s="204"/>
      <c r="AL54" s="204"/>
      <c r="AM54" s="205"/>
      <c r="AN54" s="205">
        <f>(AH54*'Staff Rates (Internal)'!B$2)+(AI54*'Staff Rates (Internal)'!B$3)+(AJ54*'Staff Rates (Internal)'!B$4)+(AK54*'Staff Rates (Internal)'!B$5)+(AL54*'Staff Rates (Internal)'!B$6)+(AM54*'Staff Rates (Internal)'!B$7)</f>
        <v>270</v>
      </c>
      <c r="AO54" s="206">
        <f>(AH54*'Staff Rates (External)'!B$2)+(AI54*'Staff Rates (External)'!B$3)+(AJ54*'Staff Rates (External)'!B$4)+(AK54*'Staff Rates (External)'!B$5)+(AL54*'Staff Rates (External)'!B$6)+(AM54*'Staff Rates (External)'!B$7)</f>
        <v>1000</v>
      </c>
      <c r="AR54" s="195" t="s">
        <v>830</v>
      </c>
      <c r="AX54" s="204"/>
      <c r="AY54" s="204"/>
      <c r="AZ54" s="204"/>
      <c r="BA54" s="204"/>
      <c r="BB54" s="204"/>
      <c r="BC54" s="204"/>
      <c r="BD54" s="204"/>
      <c r="BE54" s="204"/>
      <c r="BF54" s="204"/>
      <c r="BG54" s="204"/>
      <c r="BH54" s="204"/>
      <c r="BI54" s="204"/>
      <c r="BJ54" s="204"/>
      <c r="BK54" s="204"/>
      <c r="BL54" s="204"/>
      <c r="BM54" s="204"/>
      <c r="BN54" s="204"/>
      <c r="BO54" s="204"/>
      <c r="BP54" s="204"/>
      <c r="BQ54" s="204"/>
      <c r="BR54" s="204"/>
      <c r="BS54" s="204"/>
      <c r="BT54" s="204"/>
      <c r="BU54" s="204"/>
      <c r="BV54" s="204"/>
      <c r="BW54" s="204"/>
      <c r="BX54" s="204"/>
      <c r="BY54" s="204"/>
      <c r="BZ54" s="204"/>
      <c r="CA54" s="204"/>
      <c r="CB54" s="207"/>
      <c r="CC54" s="208" t="str">
        <f t="shared" si="2"/>
        <v>Data Appends</v>
      </c>
      <c r="CD54" s="208">
        <f t="shared" si="3"/>
        <v>1.727272727</v>
      </c>
      <c r="CE54" s="203">
        <v>3.0</v>
      </c>
      <c r="CF54" s="203">
        <v>1.0</v>
      </c>
      <c r="CG54" s="203">
        <v>3.0</v>
      </c>
      <c r="CH54" s="203">
        <v>1.0</v>
      </c>
      <c r="CI54" s="203">
        <v>2.0</v>
      </c>
      <c r="CJ54" s="203">
        <v>1.0</v>
      </c>
      <c r="CK54" s="203">
        <v>2.0</v>
      </c>
      <c r="CL54" s="203">
        <v>3.0</v>
      </c>
      <c r="CM54" s="209">
        <v>1.0</v>
      </c>
      <c r="CN54" s="203">
        <v>1.0</v>
      </c>
      <c r="CO54" s="203">
        <v>1.0</v>
      </c>
    </row>
    <row r="55" ht="15.75" customHeight="1">
      <c r="A55" s="185" t="s">
        <v>757</v>
      </c>
      <c r="B55" s="185" t="s">
        <v>565</v>
      </c>
      <c r="C55" s="185" t="s">
        <v>75</v>
      </c>
      <c r="D55" s="185" t="s">
        <v>59</v>
      </c>
      <c r="E55" s="195" t="s">
        <v>859</v>
      </c>
      <c r="F55" s="196" t="str">
        <f t="shared" si="8"/>
        <v>RServDataAppend - Advanced</v>
      </c>
      <c r="G55" s="196" t="str">
        <f>'Ad-Hoc | Data Collection'!$E49</f>
        <v>Appending profiling variables - each data set that needs appending is at this cost. If multiple data sets are required, charge for each data set (appending Mosaic and PRIZM 5 would result in two charges).
Data sets included in this tier:
Household decision making panel database variables
Financial and Insurance panel database variables
Experian Mosaic
Experian Financial segmentation solution (UK Only)
Claritas PRIZM Premier (lifestyle segments)
Claritas P$Cycle (financial segments)
Claritas Connexions (segmentation using consumer behavior and usage from tech, video, data services)
Environics PRIZM5 (Canada lifetstyle segmentation)
Neustar ElementOne (172-segment segmentation driven by demos)
L2 Voter Data (registration data and voter history)</v>
      </c>
      <c r="H55" s="197"/>
      <c r="I55" s="191"/>
      <c r="J55" s="191" t="str">
        <f>'Ad-Hoc | Data Collection'!$E50</f>
        <v>$3750 per variable set appended when using Dynata</v>
      </c>
      <c r="K55" s="198"/>
      <c r="L55" s="198"/>
      <c r="M55" s="198"/>
      <c r="N55" s="198"/>
      <c r="O55" s="198"/>
      <c r="P55" s="198"/>
      <c r="Q55" s="198"/>
      <c r="R55" s="195" t="s">
        <v>862</v>
      </c>
      <c r="S55" s="200"/>
      <c r="T55" s="195" t="s">
        <v>765</v>
      </c>
      <c r="U55" s="195" t="s">
        <v>765</v>
      </c>
      <c r="V55" s="195" t="s">
        <v>765</v>
      </c>
      <c r="W55" s="201"/>
      <c r="X55" s="206">
        <v>1500.0</v>
      </c>
      <c r="Y55" s="195" t="s">
        <v>862</v>
      </c>
      <c r="Z55" s="195"/>
      <c r="AA55" s="195"/>
      <c r="AB55" s="195"/>
      <c r="AC55" s="203">
        <v>4.0</v>
      </c>
      <c r="AD55" s="203">
        <v>1.0</v>
      </c>
      <c r="AE55" s="195" t="s">
        <v>861</v>
      </c>
      <c r="AF55" s="195" t="s">
        <v>768</v>
      </c>
      <c r="AG55" s="195" t="s">
        <v>108</v>
      </c>
      <c r="AH55" s="204"/>
      <c r="AI55" s="204">
        <v>4.0</v>
      </c>
      <c r="AJ55" s="204"/>
      <c r="AK55" s="204"/>
      <c r="AL55" s="204"/>
      <c r="AM55" s="205"/>
      <c r="AN55" s="205">
        <f>(AH55*'Staff Rates (Internal)'!B$2)+(AI55*'Staff Rates (Internal)'!B$3)+(AJ55*'Staff Rates (Internal)'!B$4)+(AK55*'Staff Rates (Internal)'!B$5)+(AL55*'Staff Rates (Internal)'!B$6)+(AM55*'Staff Rates (Internal)'!B$7)</f>
        <v>270</v>
      </c>
      <c r="AO55" s="206">
        <f>(AH55*'Staff Rates (External)'!B$2)+(AI55*'Staff Rates (External)'!B$3)+(AJ55*'Staff Rates (External)'!B$4)+(AK55*'Staff Rates (External)'!B$5)+(AL55*'Staff Rates (External)'!B$6)+(AM55*'Staff Rates (External)'!B$7)</f>
        <v>1000</v>
      </c>
      <c r="AR55" s="195" t="s">
        <v>830</v>
      </c>
      <c r="AX55" s="204"/>
      <c r="AY55" s="204"/>
      <c r="AZ55" s="204"/>
      <c r="BA55" s="204"/>
      <c r="BB55" s="204"/>
      <c r="BC55" s="204"/>
      <c r="BD55" s="204"/>
      <c r="BE55" s="204"/>
      <c r="BF55" s="204"/>
      <c r="BG55" s="204"/>
      <c r="BH55" s="204"/>
      <c r="BI55" s="204"/>
      <c r="BJ55" s="204"/>
      <c r="BK55" s="204"/>
      <c r="BL55" s="204"/>
      <c r="BM55" s="204"/>
      <c r="BN55" s="204"/>
      <c r="BO55" s="204"/>
      <c r="BP55" s="204"/>
      <c r="BQ55" s="204"/>
      <c r="BR55" s="204"/>
      <c r="BS55" s="204"/>
      <c r="BT55" s="204"/>
      <c r="BU55" s="204"/>
      <c r="BV55" s="204"/>
      <c r="BW55" s="204"/>
      <c r="BX55" s="204"/>
      <c r="BY55" s="204"/>
      <c r="BZ55" s="204"/>
      <c r="CA55" s="204"/>
      <c r="CB55" s="207"/>
      <c r="CC55" s="208" t="str">
        <f t="shared" si="2"/>
        <v>Data Appends</v>
      </c>
      <c r="CD55" s="208">
        <f t="shared" si="3"/>
        <v>1.727272727</v>
      </c>
      <c r="CE55" s="203">
        <v>3.0</v>
      </c>
      <c r="CF55" s="203">
        <v>1.0</v>
      </c>
      <c r="CG55" s="203">
        <v>3.0</v>
      </c>
      <c r="CH55" s="203">
        <v>1.0</v>
      </c>
      <c r="CI55" s="203">
        <v>2.0</v>
      </c>
      <c r="CJ55" s="203">
        <v>1.0</v>
      </c>
      <c r="CK55" s="203">
        <v>2.0</v>
      </c>
      <c r="CL55" s="203">
        <v>3.0</v>
      </c>
      <c r="CM55" s="209">
        <v>1.0</v>
      </c>
      <c r="CN55" s="203">
        <v>1.0</v>
      </c>
      <c r="CO55" s="203">
        <v>1.0</v>
      </c>
    </row>
    <row r="56" ht="15.75" customHeight="1">
      <c r="A56" s="185" t="s">
        <v>757</v>
      </c>
      <c r="B56" s="185" t="s">
        <v>565</v>
      </c>
      <c r="C56" s="185" t="s">
        <v>75</v>
      </c>
      <c r="D56" s="185" t="s">
        <v>60</v>
      </c>
      <c r="E56" s="195" t="s">
        <v>859</v>
      </c>
      <c r="F56" s="196" t="str">
        <f t="shared" si="8"/>
        <v>RServDataAppend - Custom</v>
      </c>
      <c r="G56" s="196" t="str">
        <f>'Ad-Hoc | Data Collection'!$F49</f>
        <v>Appending profiling variables - each data set that needs appending is at this cost. If multiple data sets are required, charge for each data set.
Business Decision Maker panel database variables
Behaviors and Interests panel database variables
Experian Marketing Analytics Bundle (financial, demographic, lifestyle, interest and life stage data)
Experian Scorex PLUS (modeled credit scores)
Axciom InfoBase - Data Bundles
Axciom Personicx
Full Contact Social Media (social media match and profiling data)
</v>
      </c>
      <c r="H56" s="197"/>
      <c r="I56" s="191"/>
      <c r="J56" s="191" t="str">
        <f>'Ad-Hoc | Data Collection'!$F50</f>
        <v>$6500 per variable set appended when using Dynata</v>
      </c>
      <c r="K56" s="198"/>
      <c r="L56" s="198"/>
      <c r="M56" s="198"/>
      <c r="N56" s="198"/>
      <c r="O56" s="198"/>
      <c r="P56" s="198"/>
      <c r="Q56" s="198"/>
      <c r="R56" s="195" t="s">
        <v>862</v>
      </c>
      <c r="S56" s="200"/>
      <c r="T56" s="195" t="s">
        <v>765</v>
      </c>
      <c r="U56" s="195" t="s">
        <v>765</v>
      </c>
      <c r="V56" s="195" t="s">
        <v>765</v>
      </c>
      <c r="W56" s="201"/>
      <c r="X56" s="206">
        <v>2600.0</v>
      </c>
      <c r="Y56" s="195" t="s">
        <v>862</v>
      </c>
      <c r="Z56" s="195"/>
      <c r="AA56" s="195"/>
      <c r="AB56" s="195"/>
      <c r="AC56" s="203">
        <v>4.0</v>
      </c>
      <c r="AD56" s="203">
        <v>1.0</v>
      </c>
      <c r="AE56" s="195" t="s">
        <v>861</v>
      </c>
      <c r="AF56" s="195" t="s">
        <v>768</v>
      </c>
      <c r="AG56" s="195" t="s">
        <v>108</v>
      </c>
      <c r="AH56" s="204"/>
      <c r="AI56" s="204">
        <v>8.0</v>
      </c>
      <c r="AJ56" s="204"/>
      <c r="AK56" s="204"/>
      <c r="AL56" s="204"/>
      <c r="AM56" s="205"/>
      <c r="AN56" s="205">
        <f>(AH56*'Staff Rates (Internal)'!B$2)+(AI56*'Staff Rates (Internal)'!B$3)+(AJ56*'Staff Rates (Internal)'!B$4)+(AK56*'Staff Rates (Internal)'!B$5)+(AL56*'Staff Rates (Internal)'!B$6)+(AM56*'Staff Rates (Internal)'!B$7)</f>
        <v>540</v>
      </c>
      <c r="AO56" s="206">
        <f>(AH56*'Staff Rates (External)'!B$2)+(AI56*'Staff Rates (External)'!B$3)+(AJ56*'Staff Rates (External)'!B$4)+(AK56*'Staff Rates (External)'!B$5)+(AL56*'Staff Rates (External)'!B$6)+(AM56*'Staff Rates (External)'!B$7)</f>
        <v>2000</v>
      </c>
      <c r="AR56" s="195" t="s">
        <v>830</v>
      </c>
      <c r="AX56" s="204"/>
      <c r="AY56" s="204"/>
      <c r="AZ56" s="204"/>
      <c r="BA56" s="204"/>
      <c r="BB56" s="204"/>
      <c r="BC56" s="204"/>
      <c r="BD56" s="204"/>
      <c r="BE56" s="204"/>
      <c r="BF56" s="204"/>
      <c r="BG56" s="204"/>
      <c r="BH56" s="204"/>
      <c r="BI56" s="204"/>
      <c r="BJ56" s="204"/>
      <c r="BK56" s="204"/>
      <c r="BL56" s="204"/>
      <c r="BM56" s="204"/>
      <c r="BN56" s="204"/>
      <c r="BO56" s="204"/>
      <c r="BP56" s="204"/>
      <c r="BQ56" s="204"/>
      <c r="BR56" s="204"/>
      <c r="BS56" s="204"/>
      <c r="BT56" s="204"/>
      <c r="BU56" s="204"/>
      <c r="BV56" s="204"/>
      <c r="BW56" s="204"/>
      <c r="BX56" s="204"/>
      <c r="BY56" s="204"/>
      <c r="BZ56" s="204"/>
      <c r="CA56" s="204"/>
      <c r="CB56" s="207"/>
      <c r="CC56" s="208" t="str">
        <f t="shared" si="2"/>
        <v>Data Appends</v>
      </c>
      <c r="CD56" s="208">
        <f t="shared" si="3"/>
        <v>1.727272727</v>
      </c>
      <c r="CE56" s="203">
        <v>3.0</v>
      </c>
      <c r="CF56" s="203">
        <v>1.0</v>
      </c>
      <c r="CG56" s="203">
        <v>3.0</v>
      </c>
      <c r="CH56" s="203">
        <v>1.0</v>
      </c>
      <c r="CI56" s="203">
        <v>2.0</v>
      </c>
      <c r="CJ56" s="203">
        <v>1.0</v>
      </c>
      <c r="CK56" s="203">
        <v>2.0</v>
      </c>
      <c r="CL56" s="203">
        <v>3.0</v>
      </c>
      <c r="CM56" s="209">
        <v>1.0</v>
      </c>
      <c r="CN56" s="203">
        <v>1.0</v>
      </c>
      <c r="CO56" s="203">
        <v>1.0</v>
      </c>
    </row>
    <row r="57" ht="15.75" customHeight="1">
      <c r="A57" s="185" t="s">
        <v>757</v>
      </c>
      <c r="B57" s="185" t="s">
        <v>565</v>
      </c>
      <c r="C57" s="185" t="s">
        <v>636</v>
      </c>
      <c r="D57" s="185" t="s">
        <v>56</v>
      </c>
      <c r="E57" s="195" t="s">
        <v>863</v>
      </c>
      <c r="F57" s="196" t="str">
        <f t="shared" si="8"/>
        <v>RSRecontact - Standard</v>
      </c>
      <c r="G57" s="196" t="str">
        <f>'Ad-Hoc | Data Collection'!$C53</f>
        <v>Participant takes an original survey and is later recontacted to take a second survey. Depending on the length between surveys, we typically see only 20%-40% of original participants take the second survey.
No gaurentees can be made on quotas or respondent mix after the first wave.</v>
      </c>
      <c r="H57" s="218" t="s">
        <v>864</v>
      </c>
      <c r="I57" s="191"/>
      <c r="J57" s="191" t="str">
        <f>'Ad-Hoc | Data Collection'!$C54</f>
        <v>CPI * 2.5 / complete</v>
      </c>
      <c r="K57" s="198"/>
      <c r="L57" s="198"/>
      <c r="M57" s="198"/>
      <c r="N57" s="198"/>
      <c r="O57" s="198"/>
      <c r="P57" s="198"/>
      <c r="Q57" s="198"/>
      <c r="R57" s="195" t="s">
        <v>826</v>
      </c>
      <c r="S57" s="200"/>
      <c r="T57" s="195" t="s">
        <v>765</v>
      </c>
      <c r="U57" s="195" t="s">
        <v>765</v>
      </c>
      <c r="V57" s="195" t="s">
        <v>765</v>
      </c>
      <c r="W57" s="201"/>
      <c r="X57" s="195" t="s">
        <v>827</v>
      </c>
      <c r="Y57" s="195" t="s">
        <v>826</v>
      </c>
      <c r="Z57" s="195"/>
      <c r="AA57" s="202"/>
      <c r="AB57" s="202">
        <v>0.6</v>
      </c>
      <c r="AC57" s="203">
        <v>4.0</v>
      </c>
      <c r="AD57" s="203">
        <v>1.0</v>
      </c>
      <c r="AE57" s="195" t="s">
        <v>828</v>
      </c>
      <c r="AF57" s="195" t="s">
        <v>768</v>
      </c>
      <c r="AG57" s="195" t="s">
        <v>108</v>
      </c>
      <c r="AH57" s="204">
        <v>8.0</v>
      </c>
      <c r="AI57" s="204">
        <v>4.0</v>
      </c>
      <c r="AJ57" s="204"/>
      <c r="AK57" s="204"/>
      <c r="AL57" s="204"/>
      <c r="AM57" s="205"/>
      <c r="AN57" s="205">
        <f>(AH57*'Staff Rates (Internal)'!B$2)+(AI57*'Staff Rates (Internal)'!B$3)+(AJ57*'Staff Rates (Internal)'!B$4)+(AK57*'Staff Rates (Internal)'!B$5)+(AL57*'Staff Rates (Internal)'!B$6)+(AM57*'Staff Rates (Internal)'!B$7)</f>
        <v>606</v>
      </c>
      <c r="AO57" s="206">
        <f>(AH57*'Staff Rates (External)'!B$2)+(AI57*'Staff Rates (External)'!B$3)+(AJ57*'Staff Rates (External)'!B$4)+(AK57*'Staff Rates (External)'!B$5)+(AL57*'Staff Rates (External)'!B$6)+(AM57*'Staff Rates (External)'!B$7)</f>
        <v>3000</v>
      </c>
      <c r="AR57" s="195" t="s">
        <v>865</v>
      </c>
      <c r="AS57" s="195" t="s">
        <v>830</v>
      </c>
      <c r="AT57" s="195" t="s">
        <v>829</v>
      </c>
      <c r="AX57" s="204"/>
      <c r="AY57" s="204"/>
      <c r="AZ57" s="204"/>
      <c r="BA57" s="204"/>
      <c r="BB57" s="204"/>
      <c r="BC57" s="204"/>
      <c r="BD57" s="204"/>
      <c r="BE57" s="204"/>
      <c r="BF57" s="204"/>
      <c r="BG57" s="204"/>
      <c r="BH57" s="204"/>
      <c r="BI57" s="204"/>
      <c r="BJ57" s="204"/>
      <c r="BK57" s="204"/>
      <c r="BL57" s="204"/>
      <c r="BM57" s="204"/>
      <c r="BN57" s="204"/>
      <c r="BO57" s="204"/>
      <c r="BP57" s="204"/>
      <c r="BQ57" s="204"/>
      <c r="BR57" s="204"/>
      <c r="BS57" s="204"/>
      <c r="BT57" s="204"/>
      <c r="BU57" s="204"/>
      <c r="BV57" s="204"/>
      <c r="BW57" s="204"/>
      <c r="BX57" s="204"/>
      <c r="BY57" s="204"/>
      <c r="BZ57" s="204"/>
      <c r="CA57" s="204"/>
      <c r="CB57" s="207"/>
      <c r="CC57" s="208" t="str">
        <f t="shared" si="2"/>
        <v>Panel Sample - Recontact</v>
      </c>
      <c r="CD57" s="208">
        <f t="shared" si="3"/>
        <v>2.272727273</v>
      </c>
      <c r="CE57" s="203">
        <v>3.0</v>
      </c>
      <c r="CF57" s="203">
        <v>3.0</v>
      </c>
      <c r="CG57" s="203">
        <v>3.0</v>
      </c>
      <c r="CH57" s="203">
        <v>1.0</v>
      </c>
      <c r="CI57" s="203">
        <v>3.0</v>
      </c>
      <c r="CJ57" s="203">
        <v>3.0</v>
      </c>
      <c r="CK57" s="203">
        <v>3.0</v>
      </c>
      <c r="CL57" s="203">
        <v>3.0</v>
      </c>
      <c r="CM57" s="209">
        <v>1.0</v>
      </c>
      <c r="CN57" s="203">
        <v>1.0</v>
      </c>
      <c r="CO57" s="203">
        <v>1.0</v>
      </c>
    </row>
    <row r="58" ht="15.75" customHeight="1">
      <c r="A58" s="185" t="s">
        <v>757</v>
      </c>
      <c r="B58" s="185" t="s">
        <v>565</v>
      </c>
      <c r="C58" s="185" t="s">
        <v>640</v>
      </c>
      <c r="D58" s="185" t="s">
        <v>56</v>
      </c>
      <c r="E58" s="195" t="s">
        <v>866</v>
      </c>
      <c r="F58" s="196" t="str">
        <f t="shared" si="8"/>
        <v>RSDyad - Standard</v>
      </c>
      <c r="G58" s="196" t="str">
        <f>'Ad-Hoc | Data Collection'!$C57</f>
        <v>A pair of participants (e.g., parent-child, manager-employee, couples) taking a survey one after the other.</v>
      </c>
      <c r="H58" s="218" t="s">
        <v>867</v>
      </c>
      <c r="I58" s="191"/>
      <c r="J58" s="191" t="str">
        <f>'Ad-Hoc | Data Collection'!$C58</f>
        <v>CPI * 2.5 / complete</v>
      </c>
      <c r="K58" s="198"/>
      <c r="L58" s="198"/>
      <c r="M58" s="198"/>
      <c r="N58" s="198"/>
      <c r="O58" s="198"/>
      <c r="P58" s="198"/>
      <c r="Q58" s="198"/>
      <c r="R58" s="195" t="s">
        <v>826</v>
      </c>
      <c r="S58" s="200"/>
      <c r="T58" s="195" t="s">
        <v>765</v>
      </c>
      <c r="U58" s="195" t="s">
        <v>765</v>
      </c>
      <c r="V58" s="195" t="s">
        <v>765</v>
      </c>
      <c r="W58" s="201"/>
      <c r="X58" s="195" t="s">
        <v>827</v>
      </c>
      <c r="Y58" s="195" t="s">
        <v>826</v>
      </c>
      <c r="Z58" s="195"/>
      <c r="AA58" s="202"/>
      <c r="AB58" s="202">
        <v>0.6</v>
      </c>
      <c r="AC58" s="203">
        <v>4.0</v>
      </c>
      <c r="AD58" s="203">
        <v>1.0</v>
      </c>
      <c r="AE58" s="195" t="s">
        <v>828</v>
      </c>
      <c r="AF58" s="195" t="s">
        <v>768</v>
      </c>
      <c r="AG58" s="195" t="s">
        <v>108</v>
      </c>
      <c r="AH58" s="204">
        <v>8.0</v>
      </c>
      <c r="AI58" s="204">
        <v>4.0</v>
      </c>
      <c r="AJ58" s="204"/>
      <c r="AK58" s="204"/>
      <c r="AL58" s="204"/>
      <c r="AM58" s="205"/>
      <c r="AN58" s="205">
        <f>(AH58*'Staff Rates (Internal)'!B$2)+(AI58*'Staff Rates (Internal)'!B$3)+(AJ58*'Staff Rates (Internal)'!B$4)+(AK58*'Staff Rates (Internal)'!B$5)+(AL58*'Staff Rates (Internal)'!B$6)+(AM58*'Staff Rates (Internal)'!B$7)</f>
        <v>606</v>
      </c>
      <c r="AO58" s="206">
        <f>(AH58*'Staff Rates (External)'!B$2)+(AI58*'Staff Rates (External)'!B$3)+(AJ58*'Staff Rates (External)'!B$4)+(AK58*'Staff Rates (External)'!B$5)+(AL58*'Staff Rates (External)'!B$6)+(AM58*'Staff Rates (External)'!B$7)</f>
        <v>3000</v>
      </c>
      <c r="AR58" s="195" t="s">
        <v>865</v>
      </c>
      <c r="AS58" s="195" t="s">
        <v>830</v>
      </c>
      <c r="AT58" s="195" t="s">
        <v>829</v>
      </c>
      <c r="AX58" s="204"/>
      <c r="AY58" s="204"/>
      <c r="AZ58" s="204"/>
      <c r="BA58" s="204"/>
      <c r="BB58" s="204"/>
      <c r="BC58" s="204"/>
      <c r="BD58" s="204"/>
      <c r="BE58" s="204"/>
      <c r="BF58" s="204"/>
      <c r="BG58" s="204"/>
      <c r="BH58" s="204"/>
      <c r="BI58" s="204"/>
      <c r="BJ58" s="204"/>
      <c r="BK58" s="204"/>
      <c r="BL58" s="204"/>
      <c r="BM58" s="204"/>
      <c r="BN58" s="204"/>
      <c r="BO58" s="204"/>
      <c r="BP58" s="204"/>
      <c r="BQ58" s="204"/>
      <c r="BR58" s="204"/>
      <c r="BS58" s="204"/>
      <c r="BT58" s="204"/>
      <c r="BU58" s="204"/>
      <c r="BV58" s="204"/>
      <c r="BW58" s="204"/>
      <c r="BX58" s="204"/>
      <c r="BY58" s="204"/>
      <c r="BZ58" s="204"/>
      <c r="CA58" s="204"/>
      <c r="CB58" s="207"/>
      <c r="CC58" s="208" t="str">
        <f t="shared" si="2"/>
        <v>Panel Sample - Dyad</v>
      </c>
      <c r="CD58" s="208">
        <f t="shared" si="3"/>
        <v>2.272727273</v>
      </c>
      <c r="CE58" s="203">
        <v>3.0</v>
      </c>
      <c r="CF58" s="203">
        <v>3.0</v>
      </c>
      <c r="CG58" s="203">
        <v>3.0</v>
      </c>
      <c r="CH58" s="203">
        <v>1.0</v>
      </c>
      <c r="CI58" s="203">
        <v>3.0</v>
      </c>
      <c r="CJ58" s="203">
        <v>3.0</v>
      </c>
      <c r="CK58" s="203">
        <v>3.0</v>
      </c>
      <c r="CL58" s="203">
        <v>3.0</v>
      </c>
      <c r="CM58" s="209">
        <v>1.0</v>
      </c>
      <c r="CN58" s="203">
        <v>1.0</v>
      </c>
      <c r="CO58" s="203">
        <v>1.0</v>
      </c>
    </row>
    <row r="59" ht="15.75" customHeight="1">
      <c r="A59" s="185" t="s">
        <v>757</v>
      </c>
      <c r="B59" s="185" t="s">
        <v>565</v>
      </c>
      <c r="C59" s="185" t="s">
        <v>644</v>
      </c>
      <c r="D59" s="185" t="s">
        <v>56</v>
      </c>
      <c r="E59" s="195" t="s">
        <v>868</v>
      </c>
      <c r="F59" s="196" t="str">
        <f t="shared" si="8"/>
        <v>RServCATI - Standard</v>
      </c>
      <c r="G59" s="196" t="str">
        <f>'Ad-Hoc | Data Collection'!$C61</f>
        <v>Computer Assisted Telephone Interview, or in other words, online telephone surveys.</v>
      </c>
      <c r="H59" s="218" t="s">
        <v>869</v>
      </c>
      <c r="I59" s="191"/>
      <c r="J59" s="191" t="str">
        <f>'Ad-Hoc | Data Collection'!$C62</f>
        <v>CPI * 2.5 / complete</v>
      </c>
      <c r="K59" s="198"/>
      <c r="L59" s="198" t="s">
        <v>43</v>
      </c>
      <c r="M59" s="198" t="s">
        <v>43</v>
      </c>
      <c r="N59" s="198"/>
      <c r="O59" s="198"/>
      <c r="P59" s="198"/>
      <c r="Q59" s="198"/>
      <c r="R59" s="195" t="s">
        <v>826</v>
      </c>
      <c r="S59" s="200"/>
      <c r="T59" s="195" t="s">
        <v>765</v>
      </c>
      <c r="U59" s="195" t="s">
        <v>783</v>
      </c>
      <c r="V59" s="195" t="s">
        <v>783</v>
      </c>
      <c r="W59" s="201"/>
      <c r="X59" s="195" t="s">
        <v>827</v>
      </c>
      <c r="Y59" s="195" t="s">
        <v>826</v>
      </c>
      <c r="Z59" s="195"/>
      <c r="AA59" s="202"/>
      <c r="AB59" s="202">
        <v>0.6</v>
      </c>
      <c r="AC59" s="203">
        <v>4.0</v>
      </c>
      <c r="AD59" s="203">
        <v>1.0</v>
      </c>
      <c r="AE59" s="195" t="s">
        <v>870</v>
      </c>
      <c r="AF59" s="195" t="s">
        <v>768</v>
      </c>
      <c r="AG59" s="195" t="s">
        <v>108</v>
      </c>
      <c r="AH59" s="204">
        <v>4.0</v>
      </c>
      <c r="AI59" s="204">
        <v>12.0</v>
      </c>
      <c r="AJ59" s="204"/>
      <c r="AK59" s="204"/>
      <c r="AL59" s="204"/>
      <c r="AM59" s="205"/>
      <c r="AN59" s="205">
        <f>(AH59*'Staff Rates (Internal)'!B$2)+(AI59*'Staff Rates (Internal)'!B$3)+(AJ59*'Staff Rates (Internal)'!B$4)+(AK59*'Staff Rates (Internal)'!B$5)+(AL59*'Staff Rates (Internal)'!B$6)+(AM59*'Staff Rates (Internal)'!B$7)</f>
        <v>978</v>
      </c>
      <c r="AO59" s="206">
        <f>(AH59*'Staff Rates (External)'!B$2)+(AI59*'Staff Rates (External)'!B$3)+(AJ59*'Staff Rates (External)'!B$4)+(AK59*'Staff Rates (External)'!B$5)+(AL59*'Staff Rates (External)'!B$6)+(AM59*'Staff Rates (External)'!B$7)</f>
        <v>4000</v>
      </c>
      <c r="AR59" s="195" t="s">
        <v>830</v>
      </c>
      <c r="AX59" s="204"/>
      <c r="AY59" s="204"/>
      <c r="AZ59" s="204"/>
      <c r="BA59" s="204"/>
      <c r="BB59" s="204"/>
      <c r="BC59" s="204"/>
      <c r="BD59" s="204"/>
      <c r="BE59" s="204"/>
      <c r="BF59" s="204"/>
      <c r="BG59" s="204"/>
      <c r="BH59" s="204"/>
      <c r="BI59" s="204"/>
      <c r="BJ59" s="204"/>
      <c r="BK59" s="204"/>
      <c r="BL59" s="204"/>
      <c r="BM59" s="204"/>
      <c r="BN59" s="204"/>
      <c r="BO59" s="204"/>
      <c r="BP59" s="204"/>
      <c r="BQ59" s="204"/>
      <c r="BR59" s="204"/>
      <c r="BS59" s="204"/>
      <c r="BT59" s="204"/>
      <c r="BU59" s="204"/>
      <c r="BV59" s="204"/>
      <c r="BW59" s="204"/>
      <c r="BX59" s="204"/>
      <c r="BY59" s="204"/>
      <c r="BZ59" s="204"/>
      <c r="CA59" s="204"/>
      <c r="CB59" s="207"/>
      <c r="CC59" s="208" t="str">
        <f t="shared" si="2"/>
        <v>Panel Sample - CATI</v>
      </c>
      <c r="CD59" s="208">
        <f t="shared" si="3"/>
        <v>2.272727273</v>
      </c>
      <c r="CE59" s="203">
        <v>3.0</v>
      </c>
      <c r="CF59" s="203">
        <v>3.0</v>
      </c>
      <c r="CG59" s="203">
        <v>3.0</v>
      </c>
      <c r="CH59" s="203">
        <v>1.0</v>
      </c>
      <c r="CI59" s="203">
        <v>3.0</v>
      </c>
      <c r="CJ59" s="203">
        <v>3.0</v>
      </c>
      <c r="CK59" s="203">
        <v>3.0</v>
      </c>
      <c r="CL59" s="203">
        <v>3.0</v>
      </c>
      <c r="CM59" s="209">
        <v>1.0</v>
      </c>
      <c r="CN59" s="203">
        <v>1.0</v>
      </c>
      <c r="CO59" s="203">
        <v>1.0</v>
      </c>
    </row>
    <row r="60" ht="15.75" customHeight="1">
      <c r="A60" s="185" t="s">
        <v>757</v>
      </c>
      <c r="B60" s="185" t="s">
        <v>565</v>
      </c>
      <c r="C60" s="185" t="s">
        <v>647</v>
      </c>
      <c r="D60" s="185" t="s">
        <v>56</v>
      </c>
      <c r="E60" s="195" t="s">
        <v>871</v>
      </c>
      <c r="F60" s="196" t="str">
        <f t="shared" si="8"/>
        <v>RServOLSampleIHUT - Standard</v>
      </c>
      <c r="G60" s="196" t="str">
        <f>'Ad-Hoc | Data Collection'!$C65</f>
        <v>In-home usage tests involve a company sending a product to a specific group of people to test at home and take a survey during/after that experience with the product.</v>
      </c>
      <c r="H60" s="197"/>
      <c r="I60" s="191"/>
      <c r="J60" s="191" t="str">
        <f>'Ad-Hoc | Data Collection'!$C66</f>
        <v>CPI * 2.5 / complete</v>
      </c>
      <c r="K60" s="198"/>
      <c r="L60" s="198"/>
      <c r="M60" s="198"/>
      <c r="N60" s="198"/>
      <c r="O60" s="198"/>
      <c r="P60" s="198"/>
      <c r="Q60" s="198"/>
      <c r="R60" s="195" t="s">
        <v>826</v>
      </c>
      <c r="S60" s="200"/>
      <c r="T60" s="195" t="s">
        <v>765</v>
      </c>
      <c r="U60" s="195" t="s">
        <v>765</v>
      </c>
      <c r="V60" s="195" t="s">
        <v>765</v>
      </c>
      <c r="W60" s="201"/>
      <c r="X60" s="195" t="s">
        <v>827</v>
      </c>
      <c r="Y60" s="195" t="s">
        <v>826</v>
      </c>
      <c r="Z60" s="195"/>
      <c r="AA60" s="202"/>
      <c r="AB60" s="202">
        <v>0.6</v>
      </c>
      <c r="AC60" s="203">
        <v>4.0</v>
      </c>
      <c r="AD60" s="203">
        <v>1.0</v>
      </c>
      <c r="AE60" s="195" t="s">
        <v>872</v>
      </c>
      <c r="AF60" s="195" t="s">
        <v>768</v>
      </c>
      <c r="AG60" s="195" t="s">
        <v>108</v>
      </c>
      <c r="AH60" s="204">
        <v>4.0</v>
      </c>
      <c r="AI60" s="204">
        <v>12.0</v>
      </c>
      <c r="AJ60" s="204"/>
      <c r="AK60" s="204"/>
      <c r="AL60" s="204"/>
      <c r="AM60" s="205"/>
      <c r="AN60" s="205">
        <f>(AH60*'Staff Rates (Internal)'!B$2)+(AI60*'Staff Rates (Internal)'!B$3)+(AJ60*'Staff Rates (Internal)'!B$4)+(AK60*'Staff Rates (Internal)'!B$5)+(AL60*'Staff Rates (Internal)'!B$6)+(AM60*'Staff Rates (Internal)'!B$7)</f>
        <v>978</v>
      </c>
      <c r="AO60" s="206">
        <f>(AH60*'Staff Rates (External)'!B$2)+(AI60*'Staff Rates (External)'!B$3)+(AJ60*'Staff Rates (External)'!B$4)+(AK60*'Staff Rates (External)'!B$5)+(AL60*'Staff Rates (External)'!B$6)+(AM60*'Staff Rates (External)'!B$7)</f>
        <v>4000</v>
      </c>
      <c r="AR60" s="195" t="s">
        <v>865</v>
      </c>
      <c r="AS60" s="195" t="s">
        <v>830</v>
      </c>
      <c r="AT60" s="195" t="s">
        <v>829</v>
      </c>
      <c r="AX60" s="204"/>
      <c r="AY60" s="204"/>
      <c r="AZ60" s="204"/>
      <c r="BA60" s="204"/>
      <c r="BB60" s="204"/>
      <c r="BC60" s="204"/>
      <c r="BD60" s="204"/>
      <c r="BE60" s="204"/>
      <c r="BF60" s="204"/>
      <c r="BG60" s="204"/>
      <c r="BH60" s="204"/>
      <c r="BI60" s="204"/>
      <c r="BJ60" s="204"/>
      <c r="BK60" s="204"/>
      <c r="BL60" s="204"/>
      <c r="BM60" s="204"/>
      <c r="BN60" s="204"/>
      <c r="BO60" s="204"/>
      <c r="BP60" s="204"/>
      <c r="BQ60" s="204"/>
      <c r="BR60" s="204"/>
      <c r="BS60" s="204"/>
      <c r="BT60" s="204"/>
      <c r="BU60" s="204"/>
      <c r="BV60" s="204"/>
      <c r="BW60" s="204"/>
      <c r="BX60" s="204"/>
      <c r="BY60" s="204"/>
      <c r="BZ60" s="204"/>
      <c r="CA60" s="204"/>
      <c r="CB60" s="207"/>
      <c r="CC60" s="208" t="str">
        <f t="shared" si="2"/>
        <v>Panel Sample - IHUT</v>
      </c>
      <c r="CD60" s="208">
        <f t="shared" si="3"/>
        <v>2.272727273</v>
      </c>
      <c r="CE60" s="203">
        <v>3.0</v>
      </c>
      <c r="CF60" s="203">
        <v>3.0</v>
      </c>
      <c r="CG60" s="203">
        <v>3.0</v>
      </c>
      <c r="CH60" s="203">
        <v>1.0</v>
      </c>
      <c r="CI60" s="203">
        <v>3.0</v>
      </c>
      <c r="CJ60" s="203">
        <v>3.0</v>
      </c>
      <c r="CK60" s="203">
        <v>3.0</v>
      </c>
      <c r="CL60" s="203">
        <v>3.0</v>
      </c>
      <c r="CM60" s="209">
        <v>1.0</v>
      </c>
      <c r="CN60" s="203">
        <v>1.0</v>
      </c>
      <c r="CO60" s="203">
        <v>1.0</v>
      </c>
    </row>
    <row r="61" ht="15.75" customHeight="1">
      <c r="A61" s="185" t="s">
        <v>757</v>
      </c>
      <c r="B61" s="185" t="s">
        <v>565</v>
      </c>
      <c r="C61" s="185" t="s">
        <v>650</v>
      </c>
      <c r="D61" s="185" t="s">
        <v>56</v>
      </c>
      <c r="E61" s="195" t="s">
        <v>873</v>
      </c>
      <c r="F61" s="196" t="str">
        <f t="shared" si="8"/>
        <v>RSDiaryStudy - Standard</v>
      </c>
      <c r="G61" s="196" t="str">
        <f>'Ad-Hoc | Data Collection'!$C69</f>
        <v>Research in which the participant repeatedly takes surveys (e.g., once a day for a week or 4 times a day for 2 weeks). Qualtrics cannot guarantee the requested number of completes given the high rates of attrition on these studies.</v>
      </c>
      <c r="H61" s="218" t="s">
        <v>874</v>
      </c>
      <c r="I61" s="191"/>
      <c r="J61" s="191" t="str">
        <f>'Ad-Hoc | Data Collection'!$C70</f>
        <v>CPI * 2.5 / complete</v>
      </c>
      <c r="K61" s="198"/>
      <c r="L61" s="198"/>
      <c r="M61" s="198"/>
      <c r="N61" s="198"/>
      <c r="O61" s="198"/>
      <c r="P61" s="198"/>
      <c r="Q61" s="198"/>
      <c r="R61" s="195" t="s">
        <v>826</v>
      </c>
      <c r="S61" s="200"/>
      <c r="T61" s="195" t="s">
        <v>765</v>
      </c>
      <c r="U61" s="195" t="s">
        <v>765</v>
      </c>
      <c r="V61" s="195" t="s">
        <v>765</v>
      </c>
      <c r="W61" s="201"/>
      <c r="X61" s="195" t="s">
        <v>827</v>
      </c>
      <c r="Y61" s="195" t="s">
        <v>826</v>
      </c>
      <c r="Z61" s="195"/>
      <c r="AA61" s="202"/>
      <c r="AB61" s="202">
        <v>0.6</v>
      </c>
      <c r="AC61" s="203">
        <v>4.0</v>
      </c>
      <c r="AD61" s="203">
        <v>1.0</v>
      </c>
      <c r="AE61" s="195" t="s">
        <v>828</v>
      </c>
      <c r="AF61" s="195" t="s">
        <v>768</v>
      </c>
      <c r="AG61" s="195" t="s">
        <v>108</v>
      </c>
      <c r="AH61" s="204">
        <v>8.0</v>
      </c>
      <c r="AI61" s="204">
        <v>20.0</v>
      </c>
      <c r="AJ61" s="204"/>
      <c r="AK61" s="204"/>
      <c r="AL61" s="204"/>
      <c r="AM61" s="205"/>
      <c r="AN61" s="205">
        <f>(AH61*'Staff Rates (Internal)'!B$2)+(AI61*'Staff Rates (Internal)'!B$3)+(AJ61*'Staff Rates (Internal)'!B$4)+(AK61*'Staff Rates (Internal)'!B$5)+(AL61*'Staff Rates (Internal)'!B$6)+(AM61*'Staff Rates (Internal)'!B$7)</f>
        <v>1686</v>
      </c>
      <c r="AO61" s="206">
        <f>(AH61*'Staff Rates (External)'!B$2)+(AI61*'Staff Rates (External)'!B$3)+(AJ61*'Staff Rates (External)'!B$4)+(AK61*'Staff Rates (External)'!B$5)+(AL61*'Staff Rates (External)'!B$6)+(AM61*'Staff Rates (External)'!B$7)</f>
        <v>7000</v>
      </c>
      <c r="AR61" s="195" t="s">
        <v>865</v>
      </c>
      <c r="AS61" s="195" t="s">
        <v>830</v>
      </c>
      <c r="AT61" s="195" t="s">
        <v>829</v>
      </c>
      <c r="AX61" s="204"/>
      <c r="AY61" s="204"/>
      <c r="AZ61" s="204"/>
      <c r="BA61" s="204"/>
      <c r="BB61" s="204"/>
      <c r="BC61" s="204"/>
      <c r="BD61" s="204"/>
      <c r="BE61" s="204"/>
      <c r="BF61" s="204"/>
      <c r="BG61" s="204"/>
      <c r="BH61" s="204"/>
      <c r="BI61" s="204"/>
      <c r="BJ61" s="204"/>
      <c r="BK61" s="204"/>
      <c r="BL61" s="204"/>
      <c r="BM61" s="204"/>
      <c r="BN61" s="204"/>
      <c r="BO61" s="204"/>
      <c r="BP61" s="204"/>
      <c r="BQ61" s="204"/>
      <c r="BR61" s="204"/>
      <c r="BS61" s="204"/>
      <c r="BT61" s="204"/>
      <c r="BU61" s="204"/>
      <c r="BV61" s="204"/>
      <c r="BW61" s="204"/>
      <c r="BX61" s="204"/>
      <c r="BY61" s="204"/>
      <c r="BZ61" s="204"/>
      <c r="CA61" s="204"/>
      <c r="CB61" s="207"/>
      <c r="CC61" s="208" t="str">
        <f t="shared" si="2"/>
        <v>Panel Sample - Diary Study</v>
      </c>
      <c r="CD61" s="208">
        <f t="shared" si="3"/>
        <v>2.272727273</v>
      </c>
      <c r="CE61" s="203">
        <v>3.0</v>
      </c>
      <c r="CF61" s="203">
        <v>3.0</v>
      </c>
      <c r="CG61" s="203">
        <v>3.0</v>
      </c>
      <c r="CH61" s="203">
        <v>1.0</v>
      </c>
      <c r="CI61" s="203">
        <v>3.0</v>
      </c>
      <c r="CJ61" s="203">
        <v>3.0</v>
      </c>
      <c r="CK61" s="203">
        <v>3.0</v>
      </c>
      <c r="CL61" s="203">
        <v>3.0</v>
      </c>
      <c r="CM61" s="209">
        <v>1.0</v>
      </c>
      <c r="CN61" s="203">
        <v>1.0</v>
      </c>
      <c r="CO61" s="203">
        <v>1.0</v>
      </c>
    </row>
    <row r="62" ht="15.75" customHeight="1">
      <c r="A62" s="185" t="s">
        <v>757</v>
      </c>
      <c r="B62" s="185" t="s">
        <v>565</v>
      </c>
      <c r="C62" s="185" t="s">
        <v>654</v>
      </c>
      <c r="D62" s="185" t="s">
        <v>56</v>
      </c>
      <c r="E62" s="195" t="s">
        <v>875</v>
      </c>
      <c r="F62" s="196" t="str">
        <f t="shared" si="8"/>
        <v>RServOLSamplePanelBuild - Standard</v>
      </c>
      <c r="G62" s="196" t="str">
        <f>'Ad-Hoc | Data Collection'!$C73</f>
        <v>Qualifying participants online and collecting personal identifying information (PII), allowing the client to maintain contact with them in the future. </v>
      </c>
      <c r="H62" s="218" t="s">
        <v>876</v>
      </c>
      <c r="I62" s="191"/>
      <c r="J62" s="191" t="str">
        <f>'Ad-Hoc | Data Collection'!$C74</f>
        <v>CPI * 2.5 / complete + $1,000 for PM and Programming Fee</v>
      </c>
      <c r="K62" s="198"/>
      <c r="L62" s="198" t="s">
        <v>43</v>
      </c>
      <c r="M62" s="198" t="s">
        <v>43</v>
      </c>
      <c r="N62" s="198"/>
      <c r="O62" s="198"/>
      <c r="P62" s="198"/>
      <c r="Q62" s="198"/>
      <c r="R62" s="195" t="s">
        <v>826</v>
      </c>
      <c r="S62" s="200"/>
      <c r="T62" s="195" t="s">
        <v>765</v>
      </c>
      <c r="U62" s="195" t="s">
        <v>783</v>
      </c>
      <c r="V62" s="195" t="s">
        <v>783</v>
      </c>
      <c r="W62" s="201"/>
      <c r="X62" s="195" t="s">
        <v>827</v>
      </c>
      <c r="Y62" s="195" t="s">
        <v>826</v>
      </c>
      <c r="Z62" s="195"/>
      <c r="AA62" s="202"/>
      <c r="AB62" s="202">
        <v>0.6</v>
      </c>
      <c r="AC62" s="203">
        <v>4.0</v>
      </c>
      <c r="AD62" s="203">
        <v>1.0</v>
      </c>
      <c r="AE62" s="195" t="s">
        <v>877</v>
      </c>
      <c r="AF62" s="195" t="s">
        <v>768</v>
      </c>
      <c r="AG62" s="195" t="s">
        <v>108</v>
      </c>
      <c r="AH62" s="204">
        <v>4.0</v>
      </c>
      <c r="AI62" s="204">
        <v>6.0</v>
      </c>
      <c r="AJ62" s="204"/>
      <c r="AK62" s="204"/>
      <c r="AL62" s="204"/>
      <c r="AM62" s="205"/>
      <c r="AN62" s="205">
        <f>(AH62*'Staff Rates (Internal)'!B$2)+(AI62*'Staff Rates (Internal)'!B$3)+(AJ62*'Staff Rates (Internal)'!B$4)+(AK62*'Staff Rates (Internal)'!B$5)+(AL62*'Staff Rates (Internal)'!B$6)+(AM62*'Staff Rates (Internal)'!B$7)</f>
        <v>573</v>
      </c>
      <c r="AO62" s="206">
        <f>(AH62*'Staff Rates (External)'!B$2)+(AI62*'Staff Rates (External)'!B$3)+(AJ62*'Staff Rates (External)'!B$4)+(AK62*'Staff Rates (External)'!B$5)+(AL62*'Staff Rates (External)'!B$6)+(AM62*'Staff Rates (External)'!B$7)</f>
        <v>2500</v>
      </c>
      <c r="AR62" s="195" t="s">
        <v>829</v>
      </c>
      <c r="AX62" s="204"/>
      <c r="AY62" s="204"/>
      <c r="AZ62" s="204"/>
      <c r="BA62" s="204"/>
      <c r="BB62" s="204"/>
      <c r="BC62" s="204"/>
      <c r="BD62" s="204"/>
      <c r="BE62" s="204"/>
      <c r="BF62" s="204"/>
      <c r="BG62" s="204"/>
      <c r="BH62" s="204"/>
      <c r="BI62" s="204"/>
      <c r="BJ62" s="204"/>
      <c r="BK62" s="204"/>
      <c r="BL62" s="204"/>
      <c r="BM62" s="204"/>
      <c r="BN62" s="204"/>
      <c r="BO62" s="204"/>
      <c r="BP62" s="204"/>
      <c r="BQ62" s="204"/>
      <c r="BR62" s="204"/>
      <c r="BS62" s="204"/>
      <c r="BT62" s="204"/>
      <c r="BU62" s="204"/>
      <c r="BV62" s="204"/>
      <c r="BW62" s="204"/>
      <c r="BX62" s="204"/>
      <c r="BY62" s="204"/>
      <c r="BZ62" s="204"/>
      <c r="CA62" s="204"/>
      <c r="CB62" s="207"/>
      <c r="CC62" s="208" t="str">
        <f t="shared" si="2"/>
        <v>Panel Sample - Online Recruit / Panel Build</v>
      </c>
      <c r="CD62" s="208">
        <f t="shared" si="3"/>
        <v>2.272727273</v>
      </c>
      <c r="CE62" s="203">
        <v>3.0</v>
      </c>
      <c r="CF62" s="203">
        <v>3.0</v>
      </c>
      <c r="CG62" s="203">
        <v>3.0</v>
      </c>
      <c r="CH62" s="203">
        <v>1.0</v>
      </c>
      <c r="CI62" s="203">
        <v>3.0</v>
      </c>
      <c r="CJ62" s="203">
        <v>3.0</v>
      </c>
      <c r="CK62" s="203">
        <v>3.0</v>
      </c>
      <c r="CL62" s="203">
        <v>3.0</v>
      </c>
      <c r="CM62" s="209">
        <v>1.0</v>
      </c>
      <c r="CN62" s="203">
        <v>1.0</v>
      </c>
      <c r="CO62" s="203">
        <v>1.0</v>
      </c>
    </row>
    <row r="63" ht="15.75" customHeight="1">
      <c r="A63" s="185" t="s">
        <v>757</v>
      </c>
      <c r="B63" s="185" t="s">
        <v>565</v>
      </c>
      <c r="C63" s="185" t="s">
        <v>663</v>
      </c>
      <c r="D63" s="185" t="s">
        <v>56</v>
      </c>
      <c r="E63" s="195" t="s">
        <v>878</v>
      </c>
      <c r="F63" s="196" t="str">
        <f t="shared" si="8"/>
        <v>RSPassiveMetering - Standard</v>
      </c>
      <c r="G63" s="196" t="str">
        <f>'Ad-Hoc | Data Collection'!C89</f>
        <v>Data collection which involves respondents who have or asked to download software to their devices that software collects data about the clicks the panelist makes on the devices. The information about the clicks includes the app names, domain names, the unique URL, time frames, pages visited, and more. </v>
      </c>
      <c r="H63" s="197"/>
      <c r="I63" s="191"/>
      <c r="J63" s="191" t="str">
        <f>'Ad-Hoc | Data Collection'!C90</f>
        <v>CPI * 2.5 / complete</v>
      </c>
      <c r="K63" s="198"/>
      <c r="L63" s="198" t="s">
        <v>43</v>
      </c>
      <c r="M63" s="198" t="s">
        <v>43</v>
      </c>
      <c r="N63" s="198"/>
      <c r="O63" s="198"/>
      <c r="P63" s="198"/>
      <c r="Q63" s="198"/>
      <c r="R63" s="195" t="s">
        <v>826</v>
      </c>
      <c r="S63" s="200"/>
      <c r="T63" s="195" t="s">
        <v>765</v>
      </c>
      <c r="U63" s="195" t="s">
        <v>783</v>
      </c>
      <c r="V63" s="195" t="s">
        <v>783</v>
      </c>
      <c r="W63" s="201"/>
      <c r="X63" s="195" t="s">
        <v>827</v>
      </c>
      <c r="Y63" s="195" t="s">
        <v>826</v>
      </c>
      <c r="Z63" s="195"/>
      <c r="AA63" s="202"/>
      <c r="AB63" s="202">
        <v>0.6</v>
      </c>
      <c r="AC63" s="203">
        <v>4.0</v>
      </c>
      <c r="AD63" s="203">
        <v>1.0</v>
      </c>
      <c r="AE63" s="195" t="s">
        <v>828</v>
      </c>
      <c r="AF63" s="195" t="s">
        <v>768</v>
      </c>
      <c r="AG63" s="195" t="s">
        <v>108</v>
      </c>
      <c r="AH63" s="204">
        <v>4.0</v>
      </c>
      <c r="AI63" s="204">
        <v>20.0</v>
      </c>
      <c r="AJ63" s="204"/>
      <c r="AK63" s="204"/>
      <c r="AL63" s="204"/>
      <c r="AM63" s="205"/>
      <c r="AN63" s="205">
        <f>(AH63*'Staff Rates (Internal)'!B$2)+(AI63*'Staff Rates (Internal)'!B$3)+(AJ63*'Staff Rates (Internal)'!B$4)+(AK63*'Staff Rates (Internal)'!B$5)+(AL63*'Staff Rates (Internal)'!B$6)+(AM63*'Staff Rates (Internal)'!B$7)</f>
        <v>1518</v>
      </c>
      <c r="AO63" s="206">
        <f>(AH63*'Staff Rates (External)'!B$2)+(AI63*'Staff Rates (External)'!B$3)+(AJ63*'Staff Rates (External)'!B$4)+(AK63*'Staff Rates (External)'!B$5)+(AL63*'Staff Rates (External)'!B$6)+(AM63*'Staff Rates (External)'!B$7)</f>
        <v>6000</v>
      </c>
      <c r="AR63" s="195" t="s">
        <v>879</v>
      </c>
      <c r="AX63" s="204"/>
      <c r="AY63" s="204"/>
      <c r="AZ63" s="204"/>
      <c r="BA63" s="204"/>
      <c r="BB63" s="204"/>
      <c r="BC63" s="204"/>
      <c r="BD63" s="204"/>
      <c r="BE63" s="204"/>
      <c r="BF63" s="204"/>
      <c r="BG63" s="204"/>
      <c r="BH63" s="204"/>
      <c r="BI63" s="204"/>
      <c r="BJ63" s="204"/>
      <c r="BK63" s="204"/>
      <c r="BL63" s="204"/>
      <c r="BM63" s="204"/>
      <c r="BN63" s="204"/>
      <c r="BO63" s="204"/>
      <c r="BP63" s="204"/>
      <c r="BQ63" s="204"/>
      <c r="BR63" s="204"/>
      <c r="BS63" s="204"/>
      <c r="BT63" s="204"/>
      <c r="BU63" s="204"/>
      <c r="BV63" s="204"/>
      <c r="BW63" s="204"/>
      <c r="BX63" s="204"/>
      <c r="BY63" s="204"/>
      <c r="BZ63" s="204"/>
      <c r="CA63" s="204"/>
      <c r="CB63" s="207"/>
      <c r="CC63" s="208" t="str">
        <f t="shared" si="2"/>
        <v>Panel Sample - Passive Metering</v>
      </c>
      <c r="CD63" s="208">
        <f t="shared" si="3"/>
        <v>1.636363636</v>
      </c>
      <c r="CE63" s="203">
        <v>1.0</v>
      </c>
      <c r="CF63" s="203">
        <v>1.0</v>
      </c>
      <c r="CG63" s="203">
        <v>3.0</v>
      </c>
      <c r="CH63" s="203">
        <v>1.0</v>
      </c>
      <c r="CI63" s="203">
        <v>1.0</v>
      </c>
      <c r="CJ63" s="203">
        <v>2.0</v>
      </c>
      <c r="CK63" s="203">
        <v>3.0</v>
      </c>
      <c r="CL63" s="203">
        <v>3.0</v>
      </c>
      <c r="CM63" s="209">
        <v>1.0</v>
      </c>
      <c r="CN63" s="203">
        <v>1.0</v>
      </c>
      <c r="CO63" s="203">
        <v>1.0</v>
      </c>
    </row>
    <row r="64" ht="15.75" customHeight="1">
      <c r="A64" s="185" t="s">
        <v>757</v>
      </c>
      <c r="B64" s="185" t="s">
        <v>565</v>
      </c>
      <c r="C64" s="185" t="s">
        <v>666</v>
      </c>
      <c r="D64" s="185" t="s">
        <v>56</v>
      </c>
      <c r="E64" s="195" t="s">
        <v>880</v>
      </c>
      <c r="F64" s="196" t="str">
        <f t="shared" si="8"/>
        <v>RSGeoFencing - Standard</v>
      </c>
      <c r="G64" s="196" t="str">
        <f>'Ad-Hoc | Data Collection'!C93</f>
        <v>Panel sample which tracks the location of the panelist so you can track their movements and which places they have visisted or use their location to trigger surveys at certain points or events (e.g., when they leave a store)</v>
      </c>
      <c r="H64" s="197"/>
      <c r="I64" s="191"/>
      <c r="J64" s="191" t="str">
        <f>'Ad-Hoc | Data Collection'!C94</f>
        <v>CPI * 2.5 / complete</v>
      </c>
      <c r="K64" s="198"/>
      <c r="L64" s="198" t="s">
        <v>43</v>
      </c>
      <c r="M64" s="198" t="s">
        <v>43</v>
      </c>
      <c r="N64" s="198"/>
      <c r="O64" s="198"/>
      <c r="Q64" s="198"/>
      <c r="R64" s="195" t="s">
        <v>826</v>
      </c>
      <c r="S64" s="200"/>
      <c r="T64" s="195" t="s">
        <v>765</v>
      </c>
      <c r="U64" s="195" t="s">
        <v>783</v>
      </c>
      <c r="V64" s="195" t="s">
        <v>783</v>
      </c>
      <c r="W64" s="201"/>
      <c r="X64" s="195" t="s">
        <v>827</v>
      </c>
      <c r="Y64" s="195" t="s">
        <v>826</v>
      </c>
      <c r="Z64" s="195"/>
      <c r="AA64" s="202"/>
      <c r="AB64" s="202">
        <v>0.6</v>
      </c>
      <c r="AC64" s="203">
        <v>4.0</v>
      </c>
      <c r="AD64" s="203">
        <v>1.0</v>
      </c>
      <c r="AE64" s="195" t="s">
        <v>828</v>
      </c>
      <c r="AF64" s="195" t="s">
        <v>768</v>
      </c>
      <c r="AG64" s="195" t="s">
        <v>108</v>
      </c>
      <c r="AH64" s="204">
        <v>4.0</v>
      </c>
      <c r="AI64" s="204">
        <v>6.0</v>
      </c>
      <c r="AJ64" s="204"/>
      <c r="AK64" s="204"/>
      <c r="AL64" s="204"/>
      <c r="AM64" s="205"/>
      <c r="AN64" s="205">
        <f>(AH64*'Staff Rates (Internal)'!B$2)+(AI64*'Staff Rates (Internal)'!B$3)+(AJ64*'Staff Rates (Internal)'!B$4)+(AK64*'Staff Rates (Internal)'!B$5)+(AL64*'Staff Rates (Internal)'!B$6)+(AM64*'Staff Rates (Internal)'!B$7)</f>
        <v>573</v>
      </c>
      <c r="AO64" s="206">
        <f>(AH64*'Staff Rates (External)'!B$2)+(AI64*'Staff Rates (External)'!B$3)+(AJ64*'Staff Rates (External)'!B$4)+(AK64*'Staff Rates (External)'!B$5)+(AL64*'Staff Rates (External)'!B$6)+(AM64*'Staff Rates (External)'!B$7)</f>
        <v>2500</v>
      </c>
      <c r="AR64" s="195" t="s">
        <v>881</v>
      </c>
      <c r="AX64" s="204"/>
      <c r="AY64" s="204"/>
      <c r="AZ64" s="204"/>
      <c r="BA64" s="204"/>
      <c r="BB64" s="204"/>
      <c r="BC64" s="204"/>
      <c r="BD64" s="204"/>
      <c r="BE64" s="204"/>
      <c r="BF64" s="204"/>
      <c r="BG64" s="204"/>
      <c r="BH64" s="204"/>
      <c r="BI64" s="204"/>
      <c r="BJ64" s="204"/>
      <c r="BK64" s="204"/>
      <c r="BL64" s="204"/>
      <c r="BM64" s="204"/>
      <c r="BN64" s="204"/>
      <c r="BO64" s="204"/>
      <c r="BP64" s="204"/>
      <c r="BQ64" s="204"/>
      <c r="BR64" s="204"/>
      <c r="BS64" s="204"/>
      <c r="BT64" s="204"/>
      <c r="BU64" s="204"/>
      <c r="BV64" s="204"/>
      <c r="BW64" s="204"/>
      <c r="BX64" s="204"/>
      <c r="BY64" s="204"/>
      <c r="BZ64" s="204"/>
      <c r="CA64" s="204"/>
      <c r="CB64" s="207"/>
      <c r="CC64" s="208" t="str">
        <f t="shared" si="2"/>
        <v>Panel Sample - Geo-Fencing / Location Based</v>
      </c>
      <c r="CD64" s="208">
        <f t="shared" si="3"/>
        <v>1.636363636</v>
      </c>
      <c r="CE64" s="203">
        <v>1.0</v>
      </c>
      <c r="CF64" s="203">
        <v>1.0</v>
      </c>
      <c r="CG64" s="203">
        <v>3.0</v>
      </c>
      <c r="CH64" s="203">
        <v>1.0</v>
      </c>
      <c r="CI64" s="203">
        <v>1.0</v>
      </c>
      <c r="CJ64" s="203">
        <v>2.0</v>
      </c>
      <c r="CK64" s="203">
        <v>3.0</v>
      </c>
      <c r="CL64" s="203">
        <v>3.0</v>
      </c>
      <c r="CM64" s="209">
        <v>1.0</v>
      </c>
      <c r="CN64" s="203">
        <v>1.0</v>
      </c>
      <c r="CO64" s="203">
        <v>1.0</v>
      </c>
    </row>
    <row r="65" ht="15.75" customHeight="1">
      <c r="A65" s="185" t="s">
        <v>757</v>
      </c>
      <c r="B65" s="185" t="s">
        <v>565</v>
      </c>
      <c r="C65" s="185" t="s">
        <v>84</v>
      </c>
      <c r="D65" s="185" t="s">
        <v>56</v>
      </c>
      <c r="E65" s="195" t="s">
        <v>882</v>
      </c>
      <c r="F65" s="196" t="str">
        <f t="shared" si="8"/>
        <v>RServDataScrub - Standard</v>
      </c>
      <c r="G65" s="196" t="str">
        <f>'Ad-Hoc | Reporting &amp; Analytics'!$C38</f>
        <v>Scrub of 1 data set which meets the following criteria:
Up to 2 scrubs performed
Fewer than 5,000 completes
Open ends are in English only</v>
      </c>
      <c r="H65" s="197" t="s">
        <v>883</v>
      </c>
      <c r="I65" s="191"/>
      <c r="J65" s="191">
        <f>'Ad-Hoc | Reporting &amp; Analytics'!$C39</f>
        <v>500</v>
      </c>
      <c r="K65" s="198"/>
      <c r="L65" s="198"/>
      <c r="M65" s="198"/>
      <c r="N65" s="198"/>
      <c r="O65" s="215" t="s">
        <v>884</v>
      </c>
      <c r="P65" s="199" t="s">
        <v>885</v>
      </c>
      <c r="Q65" s="198" t="s">
        <v>886</v>
      </c>
      <c r="R65" s="195" t="s">
        <v>764</v>
      </c>
      <c r="S65" s="200"/>
      <c r="T65" s="195" t="s">
        <v>765</v>
      </c>
      <c r="U65" s="195" t="s">
        <v>765</v>
      </c>
      <c r="V65" s="195" t="s">
        <v>765</v>
      </c>
      <c r="W65" s="201"/>
      <c r="X65" s="206">
        <v>200.0</v>
      </c>
      <c r="Y65" s="195" t="s">
        <v>764</v>
      </c>
      <c r="Z65" s="195"/>
      <c r="AA65" s="202"/>
      <c r="AB65" s="202">
        <v>0.6</v>
      </c>
      <c r="AC65" s="203">
        <v>4.0</v>
      </c>
      <c r="AD65" s="203">
        <v>1.0</v>
      </c>
      <c r="AE65" s="195" t="s">
        <v>828</v>
      </c>
      <c r="AF65" s="195" t="s">
        <v>768</v>
      </c>
      <c r="AG65" s="195" t="s">
        <v>108</v>
      </c>
      <c r="AH65" s="204">
        <v>0.25</v>
      </c>
      <c r="AI65" s="204">
        <v>0.25</v>
      </c>
      <c r="AJ65" s="204"/>
      <c r="AK65" s="204"/>
      <c r="AL65" s="204"/>
      <c r="AM65" s="205"/>
      <c r="AN65" s="205">
        <f>(AH65*'Staff Rates (Internal)'!B$2)+(AI65*'Staff Rates (Internal)'!B$3)+(AJ65*'Staff Rates (Internal)'!B$4)+(AK65*'Staff Rates (Internal)'!B$5)+(AL65*'Staff Rates (Internal)'!B$6)+(AM65*'Staff Rates (Internal)'!B$7)</f>
        <v>27.375</v>
      </c>
      <c r="AO65" s="206">
        <f>(AH65*'Staff Rates (External)'!B$2)+(AI65*'Staff Rates (External)'!B$3)+(AJ65*'Staff Rates (External)'!B$4)+(AK65*'Staff Rates (External)'!B$5)+(AL65*'Staff Rates (External)'!B$6)+(AM65*'Staff Rates (External)'!B$7)</f>
        <v>125</v>
      </c>
      <c r="AR65" s="195" t="s">
        <v>887</v>
      </c>
      <c r="AS65" s="195" t="s">
        <v>43</v>
      </c>
      <c r="AX65" s="204" t="s">
        <v>765</v>
      </c>
      <c r="AY65" s="204" t="s">
        <v>765</v>
      </c>
      <c r="AZ65" s="204" t="s">
        <v>765</v>
      </c>
      <c r="BA65" s="204" t="s">
        <v>765</v>
      </c>
      <c r="BB65" s="204" t="s">
        <v>765</v>
      </c>
      <c r="BC65" s="204" t="s">
        <v>765</v>
      </c>
      <c r="BD65" s="204" t="s">
        <v>765</v>
      </c>
      <c r="BE65" s="204" t="s">
        <v>765</v>
      </c>
      <c r="BF65" s="204" t="s">
        <v>765</v>
      </c>
      <c r="BG65" s="204" t="s">
        <v>765</v>
      </c>
      <c r="BH65" s="204" t="s">
        <v>765</v>
      </c>
      <c r="BI65" s="204" t="s">
        <v>765</v>
      </c>
      <c r="BJ65" s="204" t="s">
        <v>765</v>
      </c>
      <c r="BK65" s="204" t="s">
        <v>765</v>
      </c>
      <c r="BL65" s="204" t="s">
        <v>765</v>
      </c>
      <c r="BM65" s="204" t="s">
        <v>765</v>
      </c>
      <c r="BN65" s="204" t="s">
        <v>765</v>
      </c>
      <c r="BO65" s="204" t="s">
        <v>765</v>
      </c>
      <c r="BP65" s="204" t="s">
        <v>765</v>
      </c>
      <c r="BQ65" s="204" t="s">
        <v>765</v>
      </c>
      <c r="BR65" s="204" t="s">
        <v>765</v>
      </c>
      <c r="BS65" s="204" t="s">
        <v>765</v>
      </c>
      <c r="BT65" s="204" t="s">
        <v>765</v>
      </c>
      <c r="BU65" s="204" t="s">
        <v>765</v>
      </c>
      <c r="BV65" s="204" t="s">
        <v>765</v>
      </c>
      <c r="BW65" s="204" t="s">
        <v>765</v>
      </c>
      <c r="BX65" s="204" t="s">
        <v>765</v>
      </c>
      <c r="BY65" s="204" t="s">
        <v>765</v>
      </c>
      <c r="BZ65" s="204" t="s">
        <v>765</v>
      </c>
      <c r="CA65" s="204" t="s">
        <v>765</v>
      </c>
      <c r="CB65" s="207"/>
      <c r="CC65" s="208" t="str">
        <f t="shared" si="2"/>
        <v>Data Scrub</v>
      </c>
      <c r="CD65" s="208">
        <f t="shared" si="3"/>
        <v>2.363636364</v>
      </c>
      <c r="CE65" s="203">
        <v>3.0</v>
      </c>
      <c r="CF65" s="203">
        <v>3.0</v>
      </c>
      <c r="CG65" s="203">
        <v>3.0</v>
      </c>
      <c r="CH65" s="203">
        <v>2.0</v>
      </c>
      <c r="CI65" s="203">
        <v>3.0</v>
      </c>
      <c r="CJ65" s="203">
        <v>3.0</v>
      </c>
      <c r="CK65" s="203">
        <v>3.0</v>
      </c>
      <c r="CL65" s="203">
        <v>3.0</v>
      </c>
      <c r="CM65" s="209">
        <v>1.0</v>
      </c>
      <c r="CN65" s="203">
        <v>1.0</v>
      </c>
      <c r="CO65" s="203">
        <v>1.0</v>
      </c>
    </row>
    <row r="66" ht="15.75" customHeight="1">
      <c r="A66" s="185" t="s">
        <v>757</v>
      </c>
      <c r="B66" s="185" t="s">
        <v>565</v>
      </c>
      <c r="C66" s="185" t="s">
        <v>84</v>
      </c>
      <c r="D66" s="185" t="s">
        <v>58</v>
      </c>
      <c r="E66" s="195" t="s">
        <v>882</v>
      </c>
      <c r="F66" s="196" t="str">
        <f t="shared" si="8"/>
        <v>RServDataScrub - Standard Plus</v>
      </c>
      <c r="G66" s="196" t="str">
        <f>'Ad-Hoc | Reporting &amp; Analytics'!$D38</f>
        <v>Scrub of 1 data set which meets the following criteria:
Up to 2 scrubs performed
Fewer than 5,000 completes
Open ends are not in English (only one langauge)</v>
      </c>
      <c r="H66" s="197" t="s">
        <v>888</v>
      </c>
      <c r="I66" s="191"/>
      <c r="J66" s="191">
        <f>'Ad-Hoc | Reporting &amp; Analytics'!$D39</f>
        <v>625</v>
      </c>
      <c r="K66" s="198"/>
      <c r="L66" s="198"/>
      <c r="M66" s="198"/>
      <c r="N66" s="198"/>
      <c r="O66" s="215" t="s">
        <v>884</v>
      </c>
      <c r="P66" s="199" t="s">
        <v>885</v>
      </c>
      <c r="Q66" s="198" t="s">
        <v>886</v>
      </c>
      <c r="R66" s="195" t="s">
        <v>764</v>
      </c>
      <c r="S66" s="200"/>
      <c r="T66" s="195" t="s">
        <v>765</v>
      </c>
      <c r="U66" s="195" t="s">
        <v>765</v>
      </c>
      <c r="V66" s="195" t="s">
        <v>765</v>
      </c>
      <c r="W66" s="201"/>
      <c r="X66" s="206">
        <v>250.0</v>
      </c>
      <c r="Y66" s="195" t="s">
        <v>764</v>
      </c>
      <c r="Z66" s="195"/>
      <c r="AA66" s="202"/>
      <c r="AB66" s="202">
        <v>0.6</v>
      </c>
      <c r="AC66" s="203">
        <v>4.0</v>
      </c>
      <c r="AD66" s="203">
        <v>1.0</v>
      </c>
      <c r="AE66" s="195" t="s">
        <v>828</v>
      </c>
      <c r="AF66" s="195" t="s">
        <v>768</v>
      </c>
      <c r="AG66" s="195" t="s">
        <v>108</v>
      </c>
      <c r="AH66" s="204">
        <v>0.25</v>
      </c>
      <c r="AI66" s="204">
        <v>0.25</v>
      </c>
      <c r="AJ66" s="204"/>
      <c r="AK66" s="204"/>
      <c r="AL66" s="204"/>
      <c r="AM66" s="205"/>
      <c r="AN66" s="205">
        <f>(AH66*'Staff Rates (Internal)'!B$2)+(AI66*'Staff Rates (Internal)'!B$3)+(AJ66*'Staff Rates (Internal)'!B$4)+(AK66*'Staff Rates (Internal)'!B$5)+(AL66*'Staff Rates (Internal)'!B$6)+(AM66*'Staff Rates (Internal)'!B$7)</f>
        <v>27.375</v>
      </c>
      <c r="AO66" s="206">
        <f>(AH66*'Staff Rates (External)'!B$2)+(AI66*'Staff Rates (External)'!B$3)+(AJ66*'Staff Rates (External)'!B$4)+(AK66*'Staff Rates (External)'!B$5)+(AL66*'Staff Rates (External)'!B$6)+(AM66*'Staff Rates (External)'!B$7)</f>
        <v>125</v>
      </c>
      <c r="AR66" s="195" t="s">
        <v>887</v>
      </c>
      <c r="AS66" s="195" t="s">
        <v>43</v>
      </c>
      <c r="AX66" s="204"/>
      <c r="AY66" s="204"/>
      <c r="AZ66" s="204"/>
      <c r="BA66" s="204"/>
      <c r="BB66" s="204"/>
      <c r="BC66" s="204"/>
      <c r="BD66" s="204"/>
      <c r="BE66" s="204"/>
      <c r="BF66" s="204"/>
      <c r="BG66" s="204"/>
      <c r="BH66" s="204"/>
      <c r="BI66" s="204"/>
      <c r="BJ66" s="204"/>
      <c r="BK66" s="204"/>
      <c r="BL66" s="204"/>
      <c r="BM66" s="204"/>
      <c r="BN66" s="204"/>
      <c r="BO66" s="204"/>
      <c r="BP66" s="204"/>
      <c r="BQ66" s="204"/>
      <c r="BR66" s="204"/>
      <c r="BS66" s="204"/>
      <c r="BT66" s="204"/>
      <c r="BU66" s="204"/>
      <c r="BV66" s="204"/>
      <c r="BW66" s="204"/>
      <c r="BX66" s="204"/>
      <c r="BY66" s="204"/>
      <c r="BZ66" s="204"/>
      <c r="CA66" s="204"/>
      <c r="CB66" s="207"/>
      <c r="CC66" s="208" t="str">
        <f t="shared" si="2"/>
        <v>Data Scrub</v>
      </c>
      <c r="CD66" s="208">
        <f t="shared" si="3"/>
        <v>2.363636364</v>
      </c>
      <c r="CE66" s="203">
        <v>3.0</v>
      </c>
      <c r="CF66" s="203">
        <v>3.0</v>
      </c>
      <c r="CG66" s="203">
        <v>3.0</v>
      </c>
      <c r="CH66" s="203">
        <v>2.0</v>
      </c>
      <c r="CI66" s="203">
        <v>3.0</v>
      </c>
      <c r="CJ66" s="203">
        <v>3.0</v>
      </c>
      <c r="CK66" s="203">
        <v>3.0</v>
      </c>
      <c r="CL66" s="203">
        <v>3.0</v>
      </c>
      <c r="CM66" s="209">
        <v>1.0</v>
      </c>
      <c r="CN66" s="203">
        <v>1.0</v>
      </c>
      <c r="CO66" s="203">
        <v>1.0</v>
      </c>
    </row>
    <row r="67" ht="15.75" customHeight="1">
      <c r="A67" s="185" t="s">
        <v>757</v>
      </c>
      <c r="B67" s="185" t="s">
        <v>565</v>
      </c>
      <c r="C67" s="185" t="s">
        <v>84</v>
      </c>
      <c r="D67" s="185" t="s">
        <v>59</v>
      </c>
      <c r="E67" s="195" t="s">
        <v>882</v>
      </c>
      <c r="F67" s="196" t="str">
        <f t="shared" si="8"/>
        <v>RServDataScrub - Advanced</v>
      </c>
      <c r="G67" s="196" t="str">
        <f>'Ad-Hoc | Reporting &amp; Analytics'!$E38</f>
        <v>Scrub of 1 data set which meets the following criteria:
Up to 2 scrubs performed
5,000 - 7,999 completes
Open ends are in English</v>
      </c>
      <c r="H67" s="197" t="s">
        <v>889</v>
      </c>
      <c r="I67" s="191"/>
      <c r="J67" s="191">
        <f>'Ad-Hoc | Reporting &amp; Analytics'!$E39</f>
        <v>750</v>
      </c>
      <c r="K67" s="198"/>
      <c r="L67" s="198"/>
      <c r="M67" s="198"/>
      <c r="N67" s="198"/>
      <c r="O67" s="215" t="s">
        <v>884</v>
      </c>
      <c r="P67" s="199" t="s">
        <v>885</v>
      </c>
      <c r="Q67" s="198" t="s">
        <v>886</v>
      </c>
      <c r="R67" s="195" t="s">
        <v>764</v>
      </c>
      <c r="S67" s="200"/>
      <c r="T67" s="195" t="s">
        <v>765</v>
      </c>
      <c r="U67" s="195" t="s">
        <v>765</v>
      </c>
      <c r="V67" s="195" t="s">
        <v>765</v>
      </c>
      <c r="W67" s="201"/>
      <c r="X67" s="206">
        <v>300.0</v>
      </c>
      <c r="Y67" s="195" t="s">
        <v>764</v>
      </c>
      <c r="Z67" s="195"/>
      <c r="AA67" s="202"/>
      <c r="AB67" s="202">
        <v>0.6</v>
      </c>
      <c r="AC67" s="203">
        <v>4.0</v>
      </c>
      <c r="AD67" s="203">
        <v>1.0</v>
      </c>
      <c r="AE67" s="195" t="s">
        <v>828</v>
      </c>
      <c r="AF67" s="195" t="s">
        <v>768</v>
      </c>
      <c r="AG67" s="195" t="s">
        <v>108</v>
      </c>
      <c r="AH67" s="204">
        <v>0.25</v>
      </c>
      <c r="AI67" s="204">
        <v>0.25</v>
      </c>
      <c r="AJ67" s="204"/>
      <c r="AK67" s="204"/>
      <c r="AL67" s="204"/>
      <c r="AM67" s="205"/>
      <c r="AN67" s="205">
        <f>(AH67*'Staff Rates (Internal)'!B$2)+(AI67*'Staff Rates (Internal)'!B$3)+(AJ67*'Staff Rates (Internal)'!B$4)+(AK67*'Staff Rates (Internal)'!B$5)+(AL67*'Staff Rates (Internal)'!B$6)+(AM67*'Staff Rates (Internal)'!B$7)</f>
        <v>27.375</v>
      </c>
      <c r="AO67" s="206">
        <f>(AH67*'Staff Rates (External)'!B$2)+(AI67*'Staff Rates (External)'!B$3)+(AJ67*'Staff Rates (External)'!B$4)+(AK67*'Staff Rates (External)'!B$5)+(AL67*'Staff Rates (External)'!B$6)+(AM67*'Staff Rates (External)'!B$7)</f>
        <v>125</v>
      </c>
      <c r="AR67" s="195" t="s">
        <v>887</v>
      </c>
      <c r="AS67" s="195" t="s">
        <v>43</v>
      </c>
      <c r="AX67" s="204"/>
      <c r="AY67" s="204"/>
      <c r="AZ67" s="204"/>
      <c r="BA67" s="204"/>
      <c r="BB67" s="204"/>
      <c r="BC67" s="204"/>
      <c r="BD67" s="204"/>
      <c r="BE67" s="204"/>
      <c r="BF67" s="204"/>
      <c r="BG67" s="204"/>
      <c r="BH67" s="204"/>
      <c r="BI67" s="204"/>
      <c r="BJ67" s="204"/>
      <c r="BK67" s="204"/>
      <c r="BL67" s="204"/>
      <c r="BM67" s="204"/>
      <c r="BN67" s="204"/>
      <c r="BO67" s="204"/>
      <c r="BP67" s="204"/>
      <c r="BQ67" s="204"/>
      <c r="BR67" s="204"/>
      <c r="BS67" s="204"/>
      <c r="BT67" s="204"/>
      <c r="BU67" s="204"/>
      <c r="BV67" s="204"/>
      <c r="BW67" s="204"/>
      <c r="BX67" s="204"/>
      <c r="BY67" s="204"/>
      <c r="BZ67" s="204"/>
      <c r="CA67" s="204"/>
      <c r="CB67" s="207"/>
      <c r="CC67" s="208" t="str">
        <f t="shared" si="2"/>
        <v>Data Scrub</v>
      </c>
      <c r="CD67" s="208">
        <f t="shared" si="3"/>
        <v>2.363636364</v>
      </c>
      <c r="CE67" s="203">
        <v>3.0</v>
      </c>
      <c r="CF67" s="203">
        <v>3.0</v>
      </c>
      <c r="CG67" s="203">
        <v>3.0</v>
      </c>
      <c r="CH67" s="203">
        <v>2.0</v>
      </c>
      <c r="CI67" s="203">
        <v>3.0</v>
      </c>
      <c r="CJ67" s="203">
        <v>3.0</v>
      </c>
      <c r="CK67" s="203">
        <v>3.0</v>
      </c>
      <c r="CL67" s="203">
        <v>3.0</v>
      </c>
      <c r="CM67" s="209">
        <v>1.0</v>
      </c>
      <c r="CN67" s="203">
        <v>1.0</v>
      </c>
      <c r="CO67" s="203">
        <v>1.0</v>
      </c>
    </row>
    <row r="68" ht="15.75" customHeight="1">
      <c r="A68" s="185" t="s">
        <v>757</v>
      </c>
      <c r="B68" s="185" t="s">
        <v>565</v>
      </c>
      <c r="C68" s="185" t="s">
        <v>84</v>
      </c>
      <c r="D68" s="185" t="s">
        <v>60</v>
      </c>
      <c r="E68" s="195" t="s">
        <v>882</v>
      </c>
      <c r="F68" s="196" t="str">
        <f t="shared" si="8"/>
        <v>RServDataScrub - Custom</v>
      </c>
      <c r="G68" s="196" t="str">
        <f>'Ad-Hoc | Reporting &amp; Analytics'!$F38</f>
        <v>Scrub that includes any of the following:
Multiple data sets / links
Over 5,000 responses
Multiple languages
3 or more scrubs</v>
      </c>
      <c r="H68" s="197"/>
      <c r="I68" s="191"/>
      <c r="J68" s="191" t="str">
        <f>'Ad-Hoc | Reporting &amp; Analytics'!$F39</f>
        <v>Custom Quote</v>
      </c>
      <c r="K68" s="198"/>
      <c r="L68" s="198"/>
      <c r="M68" s="198"/>
      <c r="N68" s="198"/>
      <c r="O68" s="215" t="s">
        <v>884</v>
      </c>
      <c r="P68" s="199" t="s">
        <v>885</v>
      </c>
      <c r="Q68" s="198" t="s">
        <v>886</v>
      </c>
      <c r="R68" s="195" t="s">
        <v>764</v>
      </c>
      <c r="S68" s="200"/>
      <c r="T68" s="195" t="s">
        <v>765</v>
      </c>
      <c r="U68" s="195" t="s">
        <v>765</v>
      </c>
      <c r="V68" s="195" t="s">
        <v>765</v>
      </c>
      <c r="W68" s="201"/>
      <c r="X68" s="195"/>
      <c r="Y68" s="195" t="s">
        <v>764</v>
      </c>
      <c r="Z68" s="195"/>
      <c r="AA68" s="195"/>
      <c r="AB68" s="195"/>
      <c r="AC68" s="203">
        <v>4.0</v>
      </c>
      <c r="AD68" s="203">
        <v>1.0</v>
      </c>
      <c r="AE68" s="195" t="s">
        <v>828</v>
      </c>
      <c r="AF68" s="195" t="s">
        <v>768</v>
      </c>
      <c r="AG68" s="195" t="s">
        <v>108</v>
      </c>
      <c r="AH68" s="204">
        <v>0.25</v>
      </c>
      <c r="AI68" s="204">
        <v>0.25</v>
      </c>
      <c r="AJ68" s="204"/>
      <c r="AK68" s="204"/>
      <c r="AL68" s="204"/>
      <c r="AM68" s="205"/>
      <c r="AN68" s="205">
        <f>(AH68*'Staff Rates (Internal)'!B$2)+(AI68*'Staff Rates (Internal)'!B$3)+(AJ68*'Staff Rates (Internal)'!B$4)+(AK68*'Staff Rates (Internal)'!B$5)+(AL68*'Staff Rates (Internal)'!B$6)+(AM68*'Staff Rates (Internal)'!B$7)</f>
        <v>27.375</v>
      </c>
      <c r="AO68" s="206">
        <f>(AH68*'Staff Rates (External)'!B$2)+(AI68*'Staff Rates (External)'!B$3)+(AJ68*'Staff Rates (External)'!B$4)+(AK68*'Staff Rates (External)'!B$5)+(AL68*'Staff Rates (External)'!B$6)+(AM68*'Staff Rates (External)'!B$7)</f>
        <v>125</v>
      </c>
      <c r="AR68" s="195" t="s">
        <v>887</v>
      </c>
      <c r="AS68" s="195" t="s">
        <v>43</v>
      </c>
      <c r="AX68" s="204"/>
      <c r="AY68" s="204"/>
      <c r="AZ68" s="204"/>
      <c r="BA68" s="204"/>
      <c r="BB68" s="204"/>
      <c r="BC68" s="204"/>
      <c r="BD68" s="204"/>
      <c r="BE68" s="204"/>
      <c r="BF68" s="204"/>
      <c r="BG68" s="204"/>
      <c r="BH68" s="204"/>
      <c r="BI68" s="204"/>
      <c r="BJ68" s="204"/>
      <c r="BK68" s="204"/>
      <c r="BL68" s="204"/>
      <c r="BM68" s="204"/>
      <c r="BN68" s="204"/>
      <c r="BO68" s="204"/>
      <c r="BP68" s="204"/>
      <c r="BQ68" s="204"/>
      <c r="BR68" s="204"/>
      <c r="BS68" s="204"/>
      <c r="BT68" s="204"/>
      <c r="BU68" s="204"/>
      <c r="BV68" s="204"/>
      <c r="BW68" s="204"/>
      <c r="BX68" s="204"/>
      <c r="BY68" s="204"/>
      <c r="BZ68" s="204"/>
      <c r="CA68" s="204"/>
      <c r="CB68" s="207"/>
      <c r="CC68" s="208" t="str">
        <f t="shared" si="2"/>
        <v>Data Scrub</v>
      </c>
      <c r="CD68" s="208">
        <f t="shared" si="3"/>
        <v>2</v>
      </c>
      <c r="CE68" s="203">
        <v>1.0</v>
      </c>
      <c r="CF68" s="203">
        <v>1.0</v>
      </c>
      <c r="CG68" s="203">
        <v>3.0</v>
      </c>
      <c r="CH68" s="203">
        <v>2.0</v>
      </c>
      <c r="CI68" s="203">
        <v>3.0</v>
      </c>
      <c r="CJ68" s="203">
        <v>3.0</v>
      </c>
      <c r="CK68" s="203">
        <v>3.0</v>
      </c>
      <c r="CL68" s="203">
        <v>3.0</v>
      </c>
      <c r="CM68" s="209">
        <v>1.0</v>
      </c>
      <c r="CN68" s="203">
        <v>1.0</v>
      </c>
      <c r="CO68" s="203">
        <v>1.0</v>
      </c>
    </row>
    <row r="69" ht="15.75" customHeight="1">
      <c r="A69" s="185" t="s">
        <v>757</v>
      </c>
      <c r="B69" s="185" t="s">
        <v>439</v>
      </c>
      <c r="C69" s="185" t="s">
        <v>77</v>
      </c>
      <c r="D69" s="185" t="s">
        <v>56</v>
      </c>
      <c r="E69" s="195" t="s">
        <v>890</v>
      </c>
      <c r="F69" s="196" t="str">
        <f t="shared" si="8"/>
        <v>RServDataWeight - Standard</v>
      </c>
      <c r="G69" s="223" t="str">
        <f>'Ad-Hoc | Reporting &amp; Analytics'!$C9</f>
        <v>Qualtrics will weight the response data for one (1) Customer survey.
Such weighting will include:
Simple weighting only. There will be no imputation, like hot decking. Hot deck imputation is a method for handling missing data in which each missing value is replaced with an observed response from a "similar" unit. Qualtrics performs raked weighting (or RIM weighting) or interlocked weighting (as cell-based or static weighting).
Up to 6 dimensions (an interlocked example of 6 dimensions, targeting 2 overlapping variables: male 18-34, female 18-34, male 35-54, female 35-54, male 55+, female 55+).
1 dataset: Qualtrics will not combine multiple datasets or projects. If the Customer wants to combine the datasets or projects, they must do so themselves, and in a way that will work for the selected weighting scheme. The Customer is responsible for ensuring that the combined dataset will operate correctly in the Qualtrics platform. 
1 application: Qualtrics weighting shall involve the one-time application of a single weighting scheme. Customer may request additional iterations of applied weighting schemes for an additional fee.
The weighting scheme will be applied to the dataset and cannot vary by question or be adjusted in any way by question. 
Qualtrics will not weight datasets that contain any type of MaxDiff or Conjoint exercises.
If the dataset contains multiple waves/ time series, those should be considered in the weighting scheme and as part of the dimensions listed above. A single weighting scheme shall be applied to the entire dataset (e.g., for a 3-wave project, a single weighting scheme shall be applied to wave 1, wave 2, and wave 3). Any wave-specific differences must fall within the allotted 6 dimensions (e.g., wave 1 females = 10%, wave 1 males = 15%; wave 2 females = 25%, wave 2 males = 25%; wave 3 females = 15%, wave 3 males = 10%). 
Customer Responsibilities:
Determine the type of weighting that applies to their needs (raked or interlocked). Should the Customer require consultation on this, Qualtrics can scope with the data science team for pricing, and advise on anticipated impact on timeline. 
Provide the weighting scheme that specifies the target distribution for each segment. 
Depending on the weighting type the Customer has selected, the Customer's weighting scheme must meet all necessary requirements for that particular weighting scheme. For example, for cell-based weighting, the target distributions for all segments should sum to 100. Missing information may impact timelines. 
Provide the base sizes for each of the weighting buckets. For example, for dimension 1, n=101; for dimension 2, n=37; for dimension 3, n=254; etc. 
Assumptions:
Qualtrics may choose to weight the data within or outside of the Qualtrics platform. If the data is weighted outside of the platform, the Customer may request Qualtrics to import weights for an additional fee.
If Qualtrics is conducting analysis on the weighted dataset, the data must be reimported into Qualtrics or cross-tabs must be scoped/ purchased. Qualtrics will report on weighted results, not the unweighted results. Customer may request Qualtrics to provide both weighted and unweighted analysis, for an additional fee.
Due to randomization, skip logic/display logic, or skipped questions, there may be data that are missing by design. If the Customer wants to impute these missing data, such will be subject to additional costs and further scoping by Qualtrics.
</v>
      </c>
      <c r="H69" s="210" t="s">
        <v>891</v>
      </c>
      <c r="I69" s="190" t="s">
        <v>892</v>
      </c>
      <c r="J69" s="191">
        <f>'Ad-Hoc | Reporting &amp; Analytics'!$C10</f>
        <v>800</v>
      </c>
      <c r="K69" s="198"/>
      <c r="L69" s="198"/>
      <c r="M69" s="198"/>
      <c r="N69" s="198"/>
      <c r="O69" s="199" t="s">
        <v>884</v>
      </c>
      <c r="P69" s="199" t="s">
        <v>762</v>
      </c>
      <c r="Q69" s="211" t="s">
        <v>893</v>
      </c>
      <c r="R69" s="195" t="s">
        <v>764</v>
      </c>
      <c r="S69" s="200"/>
      <c r="T69" s="195" t="s">
        <v>765</v>
      </c>
      <c r="U69" s="195" t="s">
        <v>765</v>
      </c>
      <c r="V69" s="195" t="s">
        <v>765</v>
      </c>
      <c r="W69" s="201"/>
      <c r="X69" s="195" t="s">
        <v>894</v>
      </c>
      <c r="Y69" s="195" t="s">
        <v>764</v>
      </c>
      <c r="Z69" s="195"/>
      <c r="AA69" s="195"/>
      <c r="AB69" s="195"/>
      <c r="AC69" s="203">
        <v>0.0</v>
      </c>
      <c r="AD69" s="203">
        <v>3.0</v>
      </c>
      <c r="AE69" s="195" t="s">
        <v>895</v>
      </c>
      <c r="AF69" s="195" t="s">
        <v>776</v>
      </c>
      <c r="AG69" s="195" t="s">
        <v>108</v>
      </c>
      <c r="AH69" s="204"/>
      <c r="AI69" s="204">
        <v>1.0</v>
      </c>
      <c r="AJ69" s="204"/>
      <c r="AK69" s="204"/>
      <c r="AL69" s="204"/>
      <c r="AM69" s="205"/>
      <c r="AN69" s="205">
        <f>(AH69*'Staff Rates (Internal)'!B$2)+(AI69*'Staff Rates (Internal)'!B$3)+(AJ69*'Staff Rates (Internal)'!B$4)+(AK69*'Staff Rates (Internal)'!B$5)+(AL69*'Staff Rates (Internal)'!B$6)+(AM69*'Staff Rates (Internal)'!B$7)</f>
        <v>67.5</v>
      </c>
      <c r="AO69" s="206">
        <f>(AH69*'Staff Rates (External)'!B$2)+(AI69*'Staff Rates (External)'!B$3)+(AJ69*'Staff Rates (External)'!B$4)+(AK69*'Staff Rates (External)'!B$5)+(AL69*'Staff Rates (External)'!B$6)+(AM69*'Staff Rates (External)'!B$7)</f>
        <v>250</v>
      </c>
      <c r="AR69" s="195" t="s">
        <v>887</v>
      </c>
      <c r="AS69" s="195" t="s">
        <v>896</v>
      </c>
      <c r="AX69" s="204" t="s">
        <v>783</v>
      </c>
      <c r="AY69" s="204" t="s">
        <v>783</v>
      </c>
      <c r="AZ69" s="204" t="s">
        <v>783</v>
      </c>
      <c r="BA69" s="204"/>
      <c r="BB69" s="204" t="s">
        <v>783</v>
      </c>
      <c r="BC69" s="204" t="s">
        <v>783</v>
      </c>
      <c r="BD69" s="204" t="s">
        <v>783</v>
      </c>
      <c r="BE69" s="204"/>
      <c r="BF69" s="204" t="s">
        <v>783</v>
      </c>
      <c r="BG69" s="204" t="s">
        <v>783</v>
      </c>
      <c r="BH69" s="204" t="s">
        <v>783</v>
      </c>
      <c r="BI69" s="204"/>
      <c r="BJ69" s="204" t="s">
        <v>783</v>
      </c>
      <c r="BK69" s="204" t="s">
        <v>783</v>
      </c>
      <c r="BL69" s="204" t="s">
        <v>783</v>
      </c>
      <c r="BM69" s="204"/>
      <c r="BN69" s="204" t="s">
        <v>783</v>
      </c>
      <c r="BO69" s="204" t="s">
        <v>783</v>
      </c>
      <c r="BP69" s="204" t="s">
        <v>783</v>
      </c>
      <c r="BQ69" s="204"/>
      <c r="BR69" s="204" t="s">
        <v>783</v>
      </c>
      <c r="BS69" s="204" t="s">
        <v>783</v>
      </c>
      <c r="BT69" s="204" t="s">
        <v>783</v>
      </c>
      <c r="BU69" s="204"/>
      <c r="BV69" s="204" t="s">
        <v>783</v>
      </c>
      <c r="BW69" s="204" t="s">
        <v>783</v>
      </c>
      <c r="BX69" s="204" t="s">
        <v>783</v>
      </c>
      <c r="BY69" s="204"/>
      <c r="BZ69" s="204" t="s">
        <v>783</v>
      </c>
      <c r="CA69" s="204"/>
      <c r="CB69" s="207"/>
      <c r="CC69" s="208" t="str">
        <f t="shared" si="2"/>
        <v>Weighting</v>
      </c>
      <c r="CD69" s="208">
        <f t="shared" si="3"/>
        <v>2.181818182</v>
      </c>
      <c r="CE69" s="203">
        <v>3.0</v>
      </c>
      <c r="CF69" s="203">
        <v>3.0</v>
      </c>
      <c r="CG69" s="203">
        <v>3.0</v>
      </c>
      <c r="CH69" s="203">
        <v>3.0</v>
      </c>
      <c r="CI69" s="203">
        <v>2.0</v>
      </c>
      <c r="CJ69" s="203">
        <v>2.0</v>
      </c>
      <c r="CK69" s="203">
        <v>2.0</v>
      </c>
      <c r="CL69" s="203">
        <v>3.0</v>
      </c>
      <c r="CM69" s="209">
        <v>1.0</v>
      </c>
      <c r="CN69" s="203">
        <v>1.0</v>
      </c>
      <c r="CO69" s="203">
        <v>1.0</v>
      </c>
    </row>
    <row r="70" ht="15.75" customHeight="1">
      <c r="A70" s="185" t="s">
        <v>757</v>
      </c>
      <c r="B70" s="185" t="s">
        <v>439</v>
      </c>
      <c r="C70" s="185" t="s">
        <v>77</v>
      </c>
      <c r="D70" s="185" t="s">
        <v>58</v>
      </c>
      <c r="E70" s="195" t="s">
        <v>890</v>
      </c>
      <c r="F70" s="196" t="str">
        <f t="shared" si="8"/>
        <v>RServDataWeight - Standard Plus</v>
      </c>
      <c r="G70" s="223" t="str">
        <f>'Ad-Hoc | Reporting &amp; Analytics'!$D9</f>
        <v>Qualtrics will weight the response data for one (1) Customer survey.
Such weighting will include:
Simple weighting only. There will be no imputation, like hot decking. Hot deck imputation is a method for handling missing data in which each missing value is replaced with an observed response from a "similar" unit. Qualtrics performs raked weighting (or RIM weighting) or interlocked weighting (as cell-based or static weighting).
Between 7 and 12 dimensions (an interlocked example of 6 dimensions, targeting 2 overlapping variables: male 18-34, female 18-34, male 35-54, female 35-54, male 55+, female 55+).
1 dataset: Qualtrics will not combine multiple datasets or projects. If the Customer wants to combine the datasets or projects, they must do so themselves, and in a way that will work for the selected weighting scheme. The Customer is responsible for ensuring that the combined dataset will operate correctly in the Qualtrics platform. 
1 application: Qualtrics weighting shall involve the one-time application of a single weighting scheme. Customer may request additional iterations of applied weighting schemes for an additional fee.
The weighting scheme will be applied to the dataset and cannot vary by question or be adjusted in any way by question. 
Qualtrics will not weight datasets that contain any type of MaxDiff or Conjoint exercises.
If the dataset contains multiple waves/ time series, those should be considered in the weighting scheme and as part of the dimensions listed above. A single weighting scheme shall be applied to the entire dataset (e.g., for a 3-wave project, a single weighting scheme shall be applied to wave 1, wave 2, and wave 3). Any wave-specific differences must fall within the allotted 6 dimensions (e.g., wave 1 females = 10%, wave 1 males = 15%; wave 2 females = 25%, wave 2 males = 25%; wave 3 females = 15%, wave 3 males = 10%). 
Customer Responsibilities:
Determine the type of weighting that applies to their needs (raked or interlocked). Should the Customer require consultation on this, Qualtrics can scope with the data science team for pricing, and advise on anticipated impact on timeline. 
Provide the weighting scheme that specifies the target distribution for each segment. 
Depending on the weighting type the Customer has selected, the Customer's weighting scheme must meet all necessary requirements for that particular weighting scheme. For example, for cell-based weighting, the target distributions for all segments should sum to 100. Missing information may impact timelines. 
Provide the base sizes for each of the weighting buckets. For example, for dimension 1, n=101; for dimension 2, n=37; for dimension 3, n=254; etc. 
Assumptions:
Qualtrics may choose to weight the data within or outside of the Qualtrics platform. If the data is weighted outside of the platform, the Customer may request Qualtrics to import weights for an additional fee.
If Qualtrics is conducting analysis on the weighted dataset, the data must be reimported into Qualtrics or cross-tabs must be scoped/ purchased. Qualtrics will report on weighted results, not the unweighted results. Customer may request Qualtrics to provide both weighted and unweighted analysis, for an additional fee.
Due to randomization, skip logic/display logic, or skipped questions, there may be data that are missing by design. If the Customer wants to impute these missing data, such will be subject to additional costs and further scoping by Qualtrics.
</v>
      </c>
      <c r="H70" s="210" t="s">
        <v>891</v>
      </c>
      <c r="I70" s="190" t="s">
        <v>892</v>
      </c>
      <c r="J70" s="191">
        <f>'Ad-Hoc | Reporting &amp; Analytics'!$D10</f>
        <v>1250</v>
      </c>
      <c r="K70" s="198"/>
      <c r="L70" s="198"/>
      <c r="M70" s="198"/>
      <c r="N70" s="198"/>
      <c r="O70" s="199" t="s">
        <v>884</v>
      </c>
      <c r="P70" s="199" t="s">
        <v>762</v>
      </c>
      <c r="Q70" s="211" t="s">
        <v>763</v>
      </c>
      <c r="R70" s="195" t="s">
        <v>764</v>
      </c>
      <c r="S70" s="200"/>
      <c r="T70" s="195" t="s">
        <v>765</v>
      </c>
      <c r="U70" s="195" t="s">
        <v>765</v>
      </c>
      <c r="V70" s="195" t="s">
        <v>765</v>
      </c>
      <c r="W70" s="201"/>
      <c r="X70" s="195" t="s">
        <v>894</v>
      </c>
      <c r="Y70" s="195" t="s">
        <v>764</v>
      </c>
      <c r="Z70" s="195"/>
      <c r="AA70" s="195"/>
      <c r="AB70" s="195"/>
      <c r="AC70" s="203">
        <v>0.0</v>
      </c>
      <c r="AD70" s="203">
        <v>3.0</v>
      </c>
      <c r="AE70" s="195" t="s">
        <v>895</v>
      </c>
      <c r="AF70" s="195" t="s">
        <v>776</v>
      </c>
      <c r="AG70" s="195" t="s">
        <v>108</v>
      </c>
      <c r="AH70" s="204"/>
      <c r="AI70" s="204">
        <v>1.0</v>
      </c>
      <c r="AJ70" s="204"/>
      <c r="AK70" s="204"/>
      <c r="AL70" s="204"/>
      <c r="AM70" s="205"/>
      <c r="AN70" s="205">
        <f>(AH70*'Staff Rates (Internal)'!B$2)+(AI70*'Staff Rates (Internal)'!B$3)+(AJ70*'Staff Rates (Internal)'!B$4)+(AK70*'Staff Rates (Internal)'!B$5)+(AL70*'Staff Rates (Internal)'!B$6)+(AM70*'Staff Rates (Internal)'!B$7)</f>
        <v>67.5</v>
      </c>
      <c r="AO70" s="206">
        <f>(AH70*'Staff Rates (External)'!B$2)+(AI70*'Staff Rates (External)'!B$3)+(AJ70*'Staff Rates (External)'!B$4)+(AK70*'Staff Rates (External)'!B$5)+(AL70*'Staff Rates (External)'!B$6)+(AM70*'Staff Rates (External)'!B$7)</f>
        <v>250</v>
      </c>
      <c r="AR70" s="195" t="s">
        <v>887</v>
      </c>
      <c r="AS70" s="195" t="s">
        <v>896</v>
      </c>
      <c r="AX70" s="204"/>
      <c r="AY70" s="204"/>
      <c r="AZ70" s="204"/>
      <c r="BA70" s="204"/>
      <c r="BB70" s="204"/>
      <c r="BC70" s="204"/>
      <c r="BD70" s="204"/>
      <c r="BE70" s="204"/>
      <c r="BF70" s="204"/>
      <c r="BG70" s="204"/>
      <c r="BH70" s="204"/>
      <c r="BI70" s="204"/>
      <c r="BJ70" s="204"/>
      <c r="BK70" s="204"/>
      <c r="BL70" s="204"/>
      <c r="BM70" s="204"/>
      <c r="BN70" s="204"/>
      <c r="BO70" s="204"/>
      <c r="BP70" s="204"/>
      <c r="BQ70" s="204"/>
      <c r="BR70" s="204"/>
      <c r="BS70" s="204"/>
      <c r="BT70" s="204"/>
      <c r="BU70" s="204"/>
      <c r="BV70" s="204"/>
      <c r="BW70" s="204"/>
      <c r="BX70" s="204"/>
      <c r="BY70" s="204"/>
      <c r="BZ70" s="204"/>
      <c r="CA70" s="204"/>
      <c r="CB70" s="207"/>
      <c r="CC70" s="208" t="str">
        <f t="shared" si="2"/>
        <v>Weighting</v>
      </c>
      <c r="CD70" s="208">
        <f t="shared" si="3"/>
        <v>2.181818182</v>
      </c>
      <c r="CE70" s="203">
        <v>3.0</v>
      </c>
      <c r="CF70" s="203">
        <v>3.0</v>
      </c>
      <c r="CG70" s="203">
        <v>3.0</v>
      </c>
      <c r="CH70" s="203">
        <v>3.0</v>
      </c>
      <c r="CI70" s="203">
        <v>2.0</v>
      </c>
      <c r="CJ70" s="203">
        <v>2.0</v>
      </c>
      <c r="CK70" s="203">
        <v>2.0</v>
      </c>
      <c r="CL70" s="203">
        <v>3.0</v>
      </c>
      <c r="CM70" s="209">
        <v>1.0</v>
      </c>
      <c r="CN70" s="203">
        <v>1.0</v>
      </c>
      <c r="CO70" s="203">
        <v>1.0</v>
      </c>
    </row>
    <row r="71" ht="15.75" customHeight="1">
      <c r="A71" s="185" t="s">
        <v>757</v>
      </c>
      <c r="B71" s="185" t="s">
        <v>439</v>
      </c>
      <c r="C71" s="185" t="s">
        <v>77</v>
      </c>
      <c r="D71" s="185" t="s">
        <v>59</v>
      </c>
      <c r="E71" s="195" t="s">
        <v>890</v>
      </c>
      <c r="F71" s="196" t="str">
        <f t="shared" si="8"/>
        <v>RServDataWeight - Advanced</v>
      </c>
      <c r="G71" s="223" t="str">
        <f>'Ad-Hoc | Reporting &amp; Analytics'!$E9</f>
        <v>Qualtrics will weight the response data for one (1) Customer survey.
Such weighting will include:
Simple weighting only. There will be no imputation, like hot decking. Hot deck imputation is a method for handling missing data in which each missing value is replaced with an observed response from a "similar" unit. Qualtrics performs raked weighting (or RIM weighting) or interlocked weighting (as cell-based or static weighting).
Between 13 and 20 dimensions (an interlocked example of 6 dimensions, targeting 2 overlapping variables: male 18-34, female 18-34, male 35-54, female 35-54, male 55+, female 55+).
1 dataset. Qualtrics will not combine multiple datasets or projects. If the Customer wants to combine the datasets or projects, they must do so themselves, and in a way that will work for the selected weighting scheme. The Customer is responsible for ensuring that the combined dataset will operate correctly in the Qualtrics platform. 
1 application: Qualtrics weighting shall involve the one-time application of a single weighting scheme. Customer may request additional iterations of applied weighting schemes for an additional fee.
The weighting scheme will be applied to the dataset, and cannot vary by question or be adjusted in any way by question. 
Qualtrics will not weight datasets that contain any type of MaxDiff or Conjoint exercises.
If the dataset contains multiple waves/ time series, those should be considered in the weighting scheme and as part of the dimensions listed above. A single weighting scheme shall be applied to the entire dataset (e.g., for a 3-wave project, a single weighting scheme shall be applied to wave 1, wave 2, and wave 3). Any wave-specific differences must fall within the allotted 6 dimensions (e.g., wave 1 females = 10%, wave 1 males = 15%; wave 2 females = 25%, wave 2 males = 25%; wave 3 females = 15%, wave 3 males = 10%). 
Customer Responsibilities:
Determine the type of weighting that applies to their needs (raked or interlocked). Should the Customer require consultation on this, Qualtrics can scope with the data science team for pricing, and advise on anticipated impact on timeline. 
Provide the weighting scheme that specifies the target distribution for each segment. 
Depending on the weighting type the Customer has selected, the Customer's weighting scheme must meet all necessary requirements for that particular weighting scheme. For example, for cell-based weighting, the target distributions for all segments should sum to 100. Missing information may impact timelines. 
Provide the base sizes for each of the weighting buckets. For example, for dimension 1, n=101; for dimension 2, n=37; for dimension 3, n=254; etc. 
Assumptions:
Qualtrics may choose to weight the data within or outside of the Qualtrics platform. If the data is weighted outside of the platform, the Customer may request Qualtrics to import weights for an additional fee.
If Qualtrics is conducting analysis on the weighted dataset, the data must be reimported into Qualtrics or cross-tabs must be scoped/ purchased. Qualtrics will report on weighted results, not the unweighted results. Customer may request Qualtrics to provide both weighted and unweighted analysis, for an additional fee.
Due to randomization, skip logic/display logic, or skipped questions, there may be data that are missing by design. If the Customer wants to impute these missing data, such will be subject to additional costs and further scoping by Qualtrics.
</v>
      </c>
      <c r="H71" s="210" t="s">
        <v>891</v>
      </c>
      <c r="I71" s="190" t="s">
        <v>892</v>
      </c>
      <c r="J71" s="191">
        <f>'Ad-Hoc | Reporting &amp; Analytics'!$E10</f>
        <v>1600</v>
      </c>
      <c r="K71" s="198"/>
      <c r="L71" s="198"/>
      <c r="M71" s="198"/>
      <c r="N71" s="198"/>
      <c r="O71" s="199" t="s">
        <v>884</v>
      </c>
      <c r="P71" s="199" t="s">
        <v>762</v>
      </c>
      <c r="Q71" s="211" t="s">
        <v>763</v>
      </c>
      <c r="R71" s="195" t="s">
        <v>764</v>
      </c>
      <c r="S71" s="200"/>
      <c r="T71" s="195" t="s">
        <v>765</v>
      </c>
      <c r="U71" s="195" t="s">
        <v>765</v>
      </c>
      <c r="V71" s="195" t="s">
        <v>765</v>
      </c>
      <c r="W71" s="201"/>
      <c r="X71" s="195" t="s">
        <v>894</v>
      </c>
      <c r="Y71" s="195" t="s">
        <v>764</v>
      </c>
      <c r="Z71" s="195"/>
      <c r="AA71" s="195"/>
      <c r="AB71" s="195"/>
      <c r="AC71" s="203">
        <v>0.0</v>
      </c>
      <c r="AD71" s="203">
        <v>3.0</v>
      </c>
      <c r="AE71" s="195" t="s">
        <v>895</v>
      </c>
      <c r="AF71" s="195" t="s">
        <v>776</v>
      </c>
      <c r="AG71" s="195" t="s">
        <v>108</v>
      </c>
      <c r="AH71" s="204"/>
      <c r="AI71" s="204">
        <v>2.0</v>
      </c>
      <c r="AJ71" s="204"/>
      <c r="AK71" s="204"/>
      <c r="AL71" s="204"/>
      <c r="AM71" s="205"/>
      <c r="AN71" s="205">
        <f>(AH71*'Staff Rates (Internal)'!B$2)+(AI71*'Staff Rates (Internal)'!B$3)+(AJ71*'Staff Rates (Internal)'!B$4)+(AK71*'Staff Rates (Internal)'!B$5)+(AL71*'Staff Rates (Internal)'!B$6)+(AM71*'Staff Rates (Internal)'!B$7)</f>
        <v>135</v>
      </c>
      <c r="AO71" s="206">
        <f>(AH71*'Staff Rates (External)'!B$2)+(AI71*'Staff Rates (External)'!B$3)+(AJ71*'Staff Rates (External)'!B$4)+(AK71*'Staff Rates (External)'!B$5)+(AL71*'Staff Rates (External)'!B$6)+(AM71*'Staff Rates (External)'!B$7)</f>
        <v>500</v>
      </c>
      <c r="AR71" s="195" t="s">
        <v>887</v>
      </c>
      <c r="AS71" s="195" t="s">
        <v>896</v>
      </c>
      <c r="AX71" s="204"/>
      <c r="AY71" s="204"/>
      <c r="AZ71" s="204"/>
      <c r="BA71" s="204"/>
      <c r="BB71" s="204"/>
      <c r="BC71" s="204"/>
      <c r="BD71" s="204"/>
      <c r="BE71" s="204"/>
      <c r="BF71" s="204"/>
      <c r="BG71" s="204"/>
      <c r="BH71" s="204"/>
      <c r="BI71" s="204"/>
      <c r="BJ71" s="204"/>
      <c r="BK71" s="204"/>
      <c r="BL71" s="204"/>
      <c r="BM71" s="204"/>
      <c r="BN71" s="204"/>
      <c r="BO71" s="204"/>
      <c r="BP71" s="204"/>
      <c r="BQ71" s="204"/>
      <c r="BR71" s="204"/>
      <c r="BS71" s="204"/>
      <c r="BT71" s="204"/>
      <c r="BU71" s="204"/>
      <c r="BV71" s="204"/>
      <c r="BW71" s="204"/>
      <c r="BX71" s="204"/>
      <c r="BY71" s="204"/>
      <c r="BZ71" s="204"/>
      <c r="CA71" s="204"/>
      <c r="CB71" s="207"/>
      <c r="CC71" s="208" t="str">
        <f t="shared" si="2"/>
        <v>Weighting</v>
      </c>
      <c r="CD71" s="208">
        <f t="shared" si="3"/>
        <v>2.181818182</v>
      </c>
      <c r="CE71" s="203">
        <v>3.0</v>
      </c>
      <c r="CF71" s="203">
        <v>3.0</v>
      </c>
      <c r="CG71" s="203">
        <v>3.0</v>
      </c>
      <c r="CH71" s="203">
        <v>3.0</v>
      </c>
      <c r="CI71" s="203">
        <v>2.0</v>
      </c>
      <c r="CJ71" s="203">
        <v>2.0</v>
      </c>
      <c r="CK71" s="203">
        <v>2.0</v>
      </c>
      <c r="CL71" s="203">
        <v>3.0</v>
      </c>
      <c r="CM71" s="209">
        <v>1.0</v>
      </c>
      <c r="CN71" s="203">
        <v>1.0</v>
      </c>
      <c r="CO71" s="203">
        <v>1.0</v>
      </c>
    </row>
    <row r="72" ht="15.75" customHeight="1">
      <c r="A72" s="185" t="s">
        <v>757</v>
      </c>
      <c r="B72" s="185" t="s">
        <v>439</v>
      </c>
      <c r="C72" s="185" t="s">
        <v>77</v>
      </c>
      <c r="D72" s="185" t="s">
        <v>60</v>
      </c>
      <c r="E72" s="195" t="s">
        <v>890</v>
      </c>
      <c r="F72" s="196" t="str">
        <f t="shared" si="8"/>
        <v>RServDataWeight - Custom</v>
      </c>
      <c r="G72" s="223" t="str">
        <f>'Ad-Hoc | Reporting &amp; Analytics'!$F9</f>
        <v>Customer weighting on 20+ dimenstions or there is the need for multiple data sets, historical calibrations, advanced nested weights, two-step weights, three-step weights, brand assignment weights, etc.</v>
      </c>
      <c r="H72" s="197"/>
      <c r="I72" s="191"/>
      <c r="J72" s="191" t="str">
        <f>'Ad-Hoc | Reporting &amp; Analytics'!$F10</f>
        <v>Custom Quote</v>
      </c>
      <c r="K72" s="198"/>
      <c r="L72" s="198"/>
      <c r="M72" s="198"/>
      <c r="N72" s="198"/>
      <c r="O72" s="198"/>
      <c r="P72" s="198"/>
      <c r="Q72" s="198"/>
      <c r="R72" s="195" t="s">
        <v>764</v>
      </c>
      <c r="S72" s="200"/>
      <c r="T72" s="195" t="s">
        <v>765</v>
      </c>
      <c r="U72" s="195" t="s">
        <v>765</v>
      </c>
      <c r="V72" s="195" t="s">
        <v>765</v>
      </c>
      <c r="W72" s="201"/>
      <c r="X72" s="195"/>
      <c r="Y72" s="195" t="s">
        <v>764</v>
      </c>
      <c r="Z72" s="195"/>
      <c r="AA72" s="195"/>
      <c r="AB72" s="195"/>
      <c r="AC72" s="203">
        <v>0.0</v>
      </c>
      <c r="AD72" s="203">
        <v>3.0</v>
      </c>
      <c r="AE72" s="195" t="s">
        <v>895</v>
      </c>
      <c r="AF72" s="195" t="s">
        <v>776</v>
      </c>
      <c r="AG72" s="195" t="s">
        <v>108</v>
      </c>
      <c r="AH72" s="204"/>
      <c r="AI72" s="204">
        <v>2.0</v>
      </c>
      <c r="AJ72" s="204"/>
      <c r="AK72" s="204"/>
      <c r="AL72" s="204"/>
      <c r="AM72" s="205"/>
      <c r="AN72" s="205">
        <f>(AH72*'Staff Rates (Internal)'!B$2)+(AI72*'Staff Rates (Internal)'!B$3)+(AJ72*'Staff Rates (Internal)'!B$4)+(AK72*'Staff Rates (Internal)'!B$5)+(AL72*'Staff Rates (Internal)'!B$6)+(AM72*'Staff Rates (Internal)'!B$7)</f>
        <v>135</v>
      </c>
      <c r="AO72" s="206">
        <f>(AH72*'Staff Rates (External)'!B$2)+(AI72*'Staff Rates (External)'!B$3)+(AJ72*'Staff Rates (External)'!B$4)+(AK72*'Staff Rates (External)'!B$5)+(AL72*'Staff Rates (External)'!B$6)+(AM72*'Staff Rates (External)'!B$7)</f>
        <v>500</v>
      </c>
      <c r="AR72" s="195" t="s">
        <v>887</v>
      </c>
      <c r="AS72" s="195" t="s">
        <v>896</v>
      </c>
      <c r="AX72" s="204"/>
      <c r="AY72" s="204"/>
      <c r="AZ72" s="204"/>
      <c r="BA72" s="204"/>
      <c r="BB72" s="204"/>
      <c r="BC72" s="204"/>
      <c r="BD72" s="204"/>
      <c r="BE72" s="204"/>
      <c r="BF72" s="204"/>
      <c r="BG72" s="204"/>
      <c r="BH72" s="204"/>
      <c r="BI72" s="204"/>
      <c r="BJ72" s="204"/>
      <c r="BK72" s="204"/>
      <c r="BL72" s="204"/>
      <c r="BM72" s="204"/>
      <c r="BN72" s="204"/>
      <c r="BO72" s="204"/>
      <c r="BP72" s="204"/>
      <c r="BQ72" s="204"/>
      <c r="BR72" s="204"/>
      <c r="BS72" s="204"/>
      <c r="BT72" s="204"/>
      <c r="BU72" s="204"/>
      <c r="BV72" s="204"/>
      <c r="BW72" s="204"/>
      <c r="BX72" s="204"/>
      <c r="BY72" s="204"/>
      <c r="BZ72" s="204"/>
      <c r="CA72" s="204"/>
      <c r="CB72" s="207"/>
      <c r="CC72" s="208" t="str">
        <f t="shared" si="2"/>
        <v>Weighting</v>
      </c>
      <c r="CD72" s="208">
        <f t="shared" si="3"/>
        <v>1.818181818</v>
      </c>
      <c r="CE72" s="203">
        <v>1.0</v>
      </c>
      <c r="CF72" s="203">
        <v>1.0</v>
      </c>
      <c r="CG72" s="203">
        <v>3.0</v>
      </c>
      <c r="CH72" s="203">
        <v>3.0</v>
      </c>
      <c r="CI72" s="203">
        <v>2.0</v>
      </c>
      <c r="CJ72" s="203">
        <v>2.0</v>
      </c>
      <c r="CK72" s="203">
        <v>2.0</v>
      </c>
      <c r="CL72" s="203">
        <v>3.0</v>
      </c>
      <c r="CM72" s="209">
        <v>1.0</v>
      </c>
      <c r="CN72" s="203">
        <v>1.0</v>
      </c>
      <c r="CO72" s="203">
        <v>1.0</v>
      </c>
    </row>
    <row r="73" ht="15.75" customHeight="1">
      <c r="A73" s="185" t="s">
        <v>757</v>
      </c>
      <c r="B73" s="185" t="s">
        <v>439</v>
      </c>
      <c r="C73" s="185" t="s">
        <v>79</v>
      </c>
      <c r="D73" s="185" t="s">
        <v>56</v>
      </c>
      <c r="E73" s="195" t="s">
        <v>897</v>
      </c>
      <c r="F73" s="196" t="str">
        <f t="shared" si="8"/>
        <v>RServCrossTab - Standard</v>
      </c>
      <c r="G73" s="223" t="str">
        <f>'Ad-Hoc | Reporting &amp; Analytics'!$C13</f>
        <v>Qualtrics will provide crosstabs for one (1) Customer survey.
Basic tables for a 10 minute survey,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2 banners with simple banner definitions (derived from direct questions or embedded data fields), with up to 10 banner points each
Customer Responsibilities:
If Qualtrics is not supporting any other reporting deliverables, the Customer is expected to provide the banner plan.
If Qualtrics is supporting with reporting deliverables, Qualtrics will propose a banner plan for Customer review and approval.
Assumptions: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10 minutes or less (as determined by median LOI). Surveys with a median LOI of longer than 10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Estimated Timing: 2-4 business days</v>
      </c>
      <c r="H73" s="210" t="s">
        <v>898</v>
      </c>
      <c r="I73" s="190" t="s">
        <v>899</v>
      </c>
      <c r="J73" s="191">
        <f>'Ad-Hoc | Reporting &amp; Analytics'!$C14</f>
        <v>2500</v>
      </c>
      <c r="K73" s="198"/>
      <c r="L73" s="198"/>
      <c r="M73" s="198"/>
      <c r="N73" s="198"/>
      <c r="O73" s="198" t="s">
        <v>900</v>
      </c>
      <c r="P73" s="199" t="s">
        <v>762</v>
      </c>
      <c r="Q73" s="199" t="s">
        <v>763</v>
      </c>
      <c r="R73" s="195" t="s">
        <v>764</v>
      </c>
      <c r="S73" s="200"/>
      <c r="T73" s="195" t="s">
        <v>765</v>
      </c>
      <c r="U73" s="195" t="s">
        <v>765</v>
      </c>
      <c r="V73" s="195" t="s">
        <v>765</v>
      </c>
      <c r="W73" s="201"/>
      <c r="X73" s="206">
        <v>550.0</v>
      </c>
      <c r="Y73" s="195" t="s">
        <v>764</v>
      </c>
      <c r="Z73" s="195"/>
      <c r="AA73" s="195"/>
      <c r="AB73" s="195"/>
      <c r="AC73" s="203">
        <v>0.0</v>
      </c>
      <c r="AD73" s="203">
        <v>3.0</v>
      </c>
      <c r="AE73" s="195" t="s">
        <v>901</v>
      </c>
      <c r="AF73" s="195" t="s">
        <v>776</v>
      </c>
      <c r="AG73" s="195" t="s">
        <v>108</v>
      </c>
      <c r="AH73" s="204"/>
      <c r="AI73" s="204">
        <v>1.0</v>
      </c>
      <c r="AJ73" s="204"/>
      <c r="AK73" s="204"/>
      <c r="AL73" s="204"/>
      <c r="AM73" s="205"/>
      <c r="AN73" s="205">
        <f>(AH73*'Staff Rates (Internal)'!B$2)+(AI73*'Staff Rates (Internal)'!B$3)+(AJ73*'Staff Rates (Internal)'!B$4)+(AK73*'Staff Rates (Internal)'!B$5)+(AL73*'Staff Rates (Internal)'!B$6)+(AM73*'Staff Rates (Internal)'!B$7)</f>
        <v>67.5</v>
      </c>
      <c r="AO73" s="206">
        <f>(AH73*'Staff Rates (External)'!B$2)+(AI73*'Staff Rates (External)'!B$3)+(AJ73*'Staff Rates (External)'!B$4)+(AK73*'Staff Rates (External)'!B$5)+(AL73*'Staff Rates (External)'!B$6)+(AM73*'Staff Rates (External)'!B$7)</f>
        <v>250</v>
      </c>
      <c r="AR73" s="195" t="s">
        <v>887</v>
      </c>
      <c r="AS73" s="195" t="s">
        <v>896</v>
      </c>
      <c r="AX73" s="204" t="s">
        <v>765</v>
      </c>
      <c r="AY73" s="204" t="s">
        <v>765</v>
      </c>
      <c r="AZ73" s="204" t="s">
        <v>765</v>
      </c>
      <c r="BA73" s="204" t="s">
        <v>765</v>
      </c>
      <c r="BB73" s="204" t="s">
        <v>765</v>
      </c>
      <c r="BC73" s="204" t="s">
        <v>765</v>
      </c>
      <c r="BD73" s="204" t="s">
        <v>765</v>
      </c>
      <c r="BE73" s="204"/>
      <c r="BF73" s="204" t="s">
        <v>765</v>
      </c>
      <c r="BG73" s="204" t="s">
        <v>765</v>
      </c>
      <c r="BH73" s="204" t="s">
        <v>765</v>
      </c>
      <c r="BI73" s="204"/>
      <c r="BJ73" s="204" t="s">
        <v>765</v>
      </c>
      <c r="BK73" s="204"/>
      <c r="BL73" s="204"/>
      <c r="BM73" s="204"/>
      <c r="BN73" s="204"/>
      <c r="BO73" s="204"/>
      <c r="BP73" s="204"/>
      <c r="BQ73" s="204"/>
      <c r="BR73" s="204"/>
      <c r="BS73" s="204"/>
      <c r="BT73" s="204"/>
      <c r="BU73" s="204"/>
      <c r="BV73" s="204"/>
      <c r="BW73" s="204"/>
      <c r="BX73" s="204"/>
      <c r="BY73" s="204"/>
      <c r="BZ73" s="204"/>
      <c r="CA73" s="204"/>
      <c r="CB73" s="207"/>
      <c r="CC73" s="208" t="str">
        <f t="shared" si="2"/>
        <v>Crosstabs</v>
      </c>
      <c r="CD73" s="208">
        <f t="shared" si="3"/>
        <v>2.090909091</v>
      </c>
      <c r="CE73" s="203">
        <v>3.0</v>
      </c>
      <c r="CF73" s="203">
        <v>3.0</v>
      </c>
      <c r="CG73" s="203">
        <v>2.0</v>
      </c>
      <c r="CH73" s="203">
        <v>3.0</v>
      </c>
      <c r="CI73" s="203">
        <v>2.0</v>
      </c>
      <c r="CJ73" s="203">
        <v>2.0</v>
      </c>
      <c r="CK73" s="203">
        <v>2.0</v>
      </c>
      <c r="CL73" s="203">
        <v>3.0</v>
      </c>
      <c r="CM73" s="209">
        <v>1.0</v>
      </c>
      <c r="CN73" s="203">
        <v>1.0</v>
      </c>
      <c r="CO73" s="203">
        <v>1.0</v>
      </c>
    </row>
    <row r="74" ht="15.75" customHeight="1">
      <c r="A74" s="185" t="s">
        <v>757</v>
      </c>
      <c r="B74" s="185" t="s">
        <v>439</v>
      </c>
      <c r="C74" s="185" t="s">
        <v>79</v>
      </c>
      <c r="D74" s="185" t="s">
        <v>58</v>
      </c>
      <c r="E74" s="195" t="s">
        <v>897</v>
      </c>
      <c r="F74" s="196" t="str">
        <f t="shared" si="8"/>
        <v>RServCrossTab - Standard Plus</v>
      </c>
      <c r="G74" s="223" t="str">
        <f>'Ad-Hoc | Reporting &amp; Analytics'!$D13</f>
        <v>Qualtrics will provide crosstabs for one (1) Customer survey.
Basic tables for a 15 minute survey,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3 banners with simple banner definitions (derived from direct questions or embedded data fields), with up to 10 banner points each
Customer Responsibilities:
If Qualtrics is not supporting any other reporting deliverables, the Customer is expected to provide the banner plan.
If Qualtrics is supporting with reporting deliverables, Qualtrics will propose a banner plan for Customer review and approval.
Assumptions: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15 minutes or less (as determined by median LOI). Surveys with a median LOI of longer than 15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Estimated Timing: 3-4 business days</v>
      </c>
      <c r="H74" s="210" t="s">
        <v>902</v>
      </c>
      <c r="I74" s="190" t="s">
        <v>899</v>
      </c>
      <c r="J74" s="191">
        <f>'Ad-Hoc | Reporting &amp; Analytics'!$D14</f>
        <v>3250</v>
      </c>
      <c r="K74" s="198"/>
      <c r="L74" s="198"/>
      <c r="M74" s="198"/>
      <c r="N74" s="198"/>
      <c r="O74" s="198" t="s">
        <v>900</v>
      </c>
      <c r="P74" s="199" t="s">
        <v>762</v>
      </c>
      <c r="Q74" s="199" t="s">
        <v>763</v>
      </c>
      <c r="R74" s="195" t="s">
        <v>764</v>
      </c>
      <c r="S74" s="200"/>
      <c r="T74" s="195" t="s">
        <v>765</v>
      </c>
      <c r="U74" s="195" t="s">
        <v>765</v>
      </c>
      <c r="V74" s="195" t="s">
        <v>765</v>
      </c>
      <c r="W74" s="201"/>
      <c r="X74" s="206">
        <v>950.0</v>
      </c>
      <c r="Y74" s="195" t="s">
        <v>764</v>
      </c>
      <c r="Z74" s="195"/>
      <c r="AA74" s="195"/>
      <c r="AB74" s="195"/>
      <c r="AC74" s="203">
        <v>0.0</v>
      </c>
      <c r="AD74" s="203">
        <v>3.0</v>
      </c>
      <c r="AE74" s="195" t="s">
        <v>901</v>
      </c>
      <c r="AF74" s="195" t="s">
        <v>776</v>
      </c>
      <c r="AG74" s="195" t="s">
        <v>108</v>
      </c>
      <c r="AH74" s="204"/>
      <c r="AI74" s="204">
        <v>1.0</v>
      </c>
      <c r="AJ74" s="204"/>
      <c r="AK74" s="204"/>
      <c r="AL74" s="204"/>
      <c r="AM74" s="205"/>
      <c r="AN74" s="205">
        <f>(AH74*'Staff Rates (Internal)'!B$2)+(AI74*'Staff Rates (Internal)'!B$3)+(AJ74*'Staff Rates (Internal)'!B$4)+(AK74*'Staff Rates (Internal)'!B$5)+(AL74*'Staff Rates (Internal)'!B$6)+(AM74*'Staff Rates (Internal)'!B$7)</f>
        <v>67.5</v>
      </c>
      <c r="AO74" s="206">
        <f>(AH74*'Staff Rates (External)'!B$2)+(AI74*'Staff Rates (External)'!B$3)+(AJ74*'Staff Rates (External)'!B$4)+(AK74*'Staff Rates (External)'!B$5)+(AL74*'Staff Rates (External)'!B$6)+(AM74*'Staff Rates (External)'!B$7)</f>
        <v>250</v>
      </c>
      <c r="AR74" s="195" t="s">
        <v>887</v>
      </c>
      <c r="AS74" s="195" t="s">
        <v>896</v>
      </c>
      <c r="AX74" s="204"/>
      <c r="AY74" s="204"/>
      <c r="AZ74" s="204"/>
      <c r="BA74" s="204"/>
      <c r="BB74" s="204"/>
      <c r="BC74" s="204"/>
      <c r="BD74" s="204"/>
      <c r="BE74" s="204"/>
      <c r="BF74" s="204"/>
      <c r="BG74" s="204"/>
      <c r="BH74" s="204"/>
      <c r="BI74" s="204"/>
      <c r="BJ74" s="204"/>
      <c r="BK74" s="204" t="s">
        <v>765</v>
      </c>
      <c r="BL74" s="204" t="s">
        <v>765</v>
      </c>
      <c r="BM74" s="204"/>
      <c r="BN74" s="204"/>
      <c r="BO74" s="204"/>
      <c r="BP74" s="204"/>
      <c r="BQ74" s="204"/>
      <c r="BR74" s="204"/>
      <c r="BS74" s="204"/>
      <c r="BT74" s="204"/>
      <c r="BU74" s="204"/>
      <c r="BV74" s="204"/>
      <c r="BW74" s="204"/>
      <c r="BX74" s="204"/>
      <c r="BY74" s="204"/>
      <c r="BZ74" s="204"/>
      <c r="CA74" s="204"/>
      <c r="CB74" s="207"/>
      <c r="CC74" s="208" t="str">
        <f t="shared" si="2"/>
        <v>Crosstabs</v>
      </c>
      <c r="CD74" s="208">
        <f t="shared" si="3"/>
        <v>2.090909091</v>
      </c>
      <c r="CE74" s="203">
        <v>3.0</v>
      </c>
      <c r="CF74" s="203">
        <v>3.0</v>
      </c>
      <c r="CG74" s="203">
        <v>2.0</v>
      </c>
      <c r="CH74" s="203">
        <v>3.0</v>
      </c>
      <c r="CI74" s="203">
        <v>2.0</v>
      </c>
      <c r="CJ74" s="203">
        <v>2.0</v>
      </c>
      <c r="CK74" s="203">
        <v>2.0</v>
      </c>
      <c r="CL74" s="203">
        <v>3.0</v>
      </c>
      <c r="CM74" s="209">
        <v>1.0</v>
      </c>
      <c r="CN74" s="203">
        <v>1.0</v>
      </c>
      <c r="CO74" s="203">
        <v>1.0</v>
      </c>
    </row>
    <row r="75" ht="15.75" customHeight="1">
      <c r="A75" s="185" t="s">
        <v>757</v>
      </c>
      <c r="B75" s="185" t="s">
        <v>439</v>
      </c>
      <c r="C75" s="185" t="s">
        <v>79</v>
      </c>
      <c r="D75" s="185" t="s">
        <v>59</v>
      </c>
      <c r="E75" s="195" t="s">
        <v>897</v>
      </c>
      <c r="F75" s="196" t="str">
        <f t="shared" si="8"/>
        <v>RServCrossTab - Advanced</v>
      </c>
      <c r="G75" s="223" t="str">
        <f>'Ad-Hoc | Reporting &amp; Analytics'!$E13</f>
        <v>Qualtrics will provide crosstabs for one (1) Customer survey.
Basic tables for a 20 minute survey, including:
Tables with minimal routing/filters
Summary tables for rating and numeric questions
Single country or multi-country with same routing/filters along with same layout
Banner plan options include the following; the Customer must select which one they want, and this must be reflected in the statement of work: 
Up to 4 banners with simple banner definitions (derived from direct questions or embedded data fields), with up to 10 banner points each
Customer Responsibilities:
If Qualtrics is not supporting any other reporting deliverables, the Customer is expected to provide the banner plan.
If Qualtrics is supporting with reporting deliverables, Qualtrics will propose a banner plan for Customer review and approval.
Assumptions:
A banner refers to a master cut of data (e.g., age, gender, income) and the banner points correspond to the variables within each cut (e.g., age ranges like the following would equate to 6 banner points &lt;18, 18-24, 25-34, 35-44, 45-54, 55+). Banner points will pull either from (a) questions that are single-select, and therefore create mutually-exclusive answer categories, or (b) variables that use question answers to create mutually-exclusive categories.
Qualtrics will not stat test overlapping categories. 
Such cross tabs will not include open end coding.
Customer survey is 20 minutes or less (as determined by median LOI). Surveys with a median LOI of longer than 20 minutes may result in impact to both timelines and cost.
Cross tabs will be provided in English.
Stat testing will be performed at 95% confidence level, unless otherwise specified in the analysis plan. Qualtrics will use t-tests for means, and Z-tests for percentages. Qualtrics does not perform any additional statistical testing or adjustments to statistical testing for differences across 3+ groups (ANOVAs, chi-squared tests, etc.). Qualtrics also does not report on specific statistical values (e.g., p-values, Z scores) for individual tests or report any additional information (e.g., error bars); Qualtrics only reports if the difference between the groups is statistically significant or not. 
Qualtrics does not do any additional adjustments beyond this reporting, unless otherwise specified. 
Any non-standard statistical testing may result in additional costs or implications to timeline. Should Customer requests edits after the analysis plan is already approved, such will be subject to additional costs and further scoping by Qualtrics, including amending the agreed-upon timelines for the project deliverables.
Estimated Timing: 5+ business days</v>
      </c>
      <c r="H75" s="210" t="s">
        <v>903</v>
      </c>
      <c r="I75" s="190" t="s">
        <v>899</v>
      </c>
      <c r="J75" s="191">
        <f>'Ad-Hoc | Reporting &amp; Analytics'!$E14</f>
        <v>4000</v>
      </c>
      <c r="K75" s="198"/>
      <c r="L75" s="198"/>
      <c r="M75" s="198"/>
      <c r="N75" s="198"/>
      <c r="O75" s="198" t="s">
        <v>900</v>
      </c>
      <c r="P75" s="199" t="s">
        <v>762</v>
      </c>
      <c r="Q75" s="199" t="s">
        <v>763</v>
      </c>
      <c r="R75" s="195" t="s">
        <v>764</v>
      </c>
      <c r="S75" s="200"/>
      <c r="T75" s="195" t="s">
        <v>765</v>
      </c>
      <c r="U75" s="195" t="s">
        <v>765</v>
      </c>
      <c r="V75" s="195" t="s">
        <v>765</v>
      </c>
      <c r="W75" s="201"/>
      <c r="X75" s="206">
        <v>1200.0</v>
      </c>
      <c r="Y75" s="195" t="s">
        <v>764</v>
      </c>
      <c r="Z75" s="195"/>
      <c r="AA75" s="195"/>
      <c r="AB75" s="195"/>
      <c r="AC75" s="203">
        <v>0.0</v>
      </c>
      <c r="AD75" s="203">
        <v>3.0</v>
      </c>
      <c r="AE75" s="195" t="s">
        <v>901</v>
      </c>
      <c r="AF75" s="195" t="s">
        <v>776</v>
      </c>
      <c r="AG75" s="195" t="s">
        <v>108</v>
      </c>
      <c r="AH75" s="204"/>
      <c r="AI75" s="204">
        <v>2.0</v>
      </c>
      <c r="AJ75" s="204"/>
      <c r="AK75" s="204"/>
      <c r="AL75" s="204"/>
      <c r="AM75" s="205"/>
      <c r="AN75" s="205">
        <f>(AH75*'Staff Rates (Internal)'!B$2)+(AI75*'Staff Rates (Internal)'!B$3)+(AJ75*'Staff Rates (Internal)'!B$4)+(AK75*'Staff Rates (Internal)'!B$5)+(AL75*'Staff Rates (Internal)'!B$6)+(AM75*'Staff Rates (Internal)'!B$7)</f>
        <v>135</v>
      </c>
      <c r="AO75" s="206">
        <f>(AH75*'Staff Rates (External)'!B$2)+(AI75*'Staff Rates (External)'!B$3)+(AJ75*'Staff Rates (External)'!B$4)+(AK75*'Staff Rates (External)'!B$5)+(AL75*'Staff Rates (External)'!B$6)+(AM75*'Staff Rates (External)'!B$7)</f>
        <v>500</v>
      </c>
      <c r="AR75" s="195" t="s">
        <v>887</v>
      </c>
      <c r="AS75" s="195" t="s">
        <v>896</v>
      </c>
      <c r="AX75" s="204"/>
      <c r="AY75" s="204"/>
      <c r="AZ75" s="204"/>
      <c r="BA75" s="204"/>
      <c r="BB75" s="204"/>
      <c r="BC75" s="204"/>
      <c r="BD75" s="204"/>
      <c r="BE75" s="204"/>
      <c r="BF75" s="204"/>
      <c r="BG75" s="204"/>
      <c r="BH75" s="204"/>
      <c r="BI75" s="204"/>
      <c r="BJ75" s="204"/>
      <c r="BK75" s="204"/>
      <c r="BL75" s="204"/>
      <c r="BM75" s="204"/>
      <c r="BN75" s="204"/>
      <c r="BO75" s="204"/>
      <c r="BP75" s="204"/>
      <c r="BQ75" s="204"/>
      <c r="BR75" s="204"/>
      <c r="BS75" s="204"/>
      <c r="BT75" s="204"/>
      <c r="BU75" s="204"/>
      <c r="BV75" s="204"/>
      <c r="BW75" s="204"/>
      <c r="BX75" s="204"/>
      <c r="BY75" s="204"/>
      <c r="BZ75" s="204"/>
      <c r="CA75" s="204"/>
      <c r="CB75" s="207"/>
      <c r="CC75" s="208" t="str">
        <f t="shared" si="2"/>
        <v>Crosstabs</v>
      </c>
      <c r="CD75" s="208">
        <f t="shared" si="3"/>
        <v>2.090909091</v>
      </c>
      <c r="CE75" s="203">
        <v>3.0</v>
      </c>
      <c r="CF75" s="203">
        <v>3.0</v>
      </c>
      <c r="CG75" s="203">
        <v>2.0</v>
      </c>
      <c r="CH75" s="203">
        <v>3.0</v>
      </c>
      <c r="CI75" s="203">
        <v>2.0</v>
      </c>
      <c r="CJ75" s="203">
        <v>2.0</v>
      </c>
      <c r="CK75" s="203">
        <v>2.0</v>
      </c>
      <c r="CL75" s="203">
        <v>3.0</v>
      </c>
      <c r="CM75" s="209">
        <v>1.0</v>
      </c>
      <c r="CN75" s="203">
        <v>1.0</v>
      </c>
      <c r="CO75" s="203">
        <v>1.0</v>
      </c>
    </row>
    <row r="76" ht="15.75" customHeight="1">
      <c r="A76" s="185" t="s">
        <v>757</v>
      </c>
      <c r="B76" s="185" t="s">
        <v>439</v>
      </c>
      <c r="C76" s="185" t="s">
        <v>79</v>
      </c>
      <c r="D76" s="185" t="s">
        <v>60</v>
      </c>
      <c r="E76" s="195" t="s">
        <v>897</v>
      </c>
      <c r="F76" s="196" t="str">
        <f t="shared" si="8"/>
        <v>RServCrossTab - Custom</v>
      </c>
      <c r="G76" s="223" t="str">
        <f>'Ad-Hoc | Reporting &amp; Analytics'!$F13</f>
        <v>Custom tables required for longer surveys, mulitple surveys, advanced table logic, multi-country with differences, above 50% change between waves, tables for appended data/customer data added after data collection, and more than 2 banners.</v>
      </c>
      <c r="H76" s="197"/>
      <c r="I76" s="191"/>
      <c r="J76" s="191" t="str">
        <f>'Ad-Hoc | Reporting &amp; Analytics'!$F14</f>
        <v>Custom Quote</v>
      </c>
      <c r="K76" s="198"/>
      <c r="L76" s="198"/>
      <c r="M76" s="198"/>
      <c r="N76" s="198"/>
      <c r="O76" s="198"/>
      <c r="P76" s="198"/>
      <c r="Q76" s="198"/>
      <c r="R76" s="195" t="s">
        <v>764</v>
      </c>
      <c r="S76" s="200"/>
      <c r="T76" s="195" t="s">
        <v>765</v>
      </c>
      <c r="U76" s="195" t="s">
        <v>765</v>
      </c>
      <c r="V76" s="195" t="s">
        <v>765</v>
      </c>
      <c r="W76" s="201"/>
      <c r="X76" s="206"/>
      <c r="Y76" s="195" t="s">
        <v>764</v>
      </c>
      <c r="Z76" s="195"/>
      <c r="AA76" s="195"/>
      <c r="AB76" s="195"/>
      <c r="AC76" s="203">
        <v>0.0</v>
      </c>
      <c r="AD76" s="203">
        <v>3.0</v>
      </c>
      <c r="AE76" s="195" t="s">
        <v>901</v>
      </c>
      <c r="AF76" s="195" t="s">
        <v>776</v>
      </c>
      <c r="AG76" s="195" t="s">
        <v>108</v>
      </c>
      <c r="AH76" s="204"/>
      <c r="AI76" s="204">
        <v>2.0</v>
      </c>
      <c r="AJ76" s="204"/>
      <c r="AK76" s="204"/>
      <c r="AL76" s="204"/>
      <c r="AM76" s="205"/>
      <c r="AN76" s="205">
        <f>(AH76*'Staff Rates (Internal)'!B$2)+(AI76*'Staff Rates (Internal)'!B$3)+(AJ76*'Staff Rates (Internal)'!B$4)+(AK76*'Staff Rates (Internal)'!B$5)+(AL76*'Staff Rates (Internal)'!B$6)+(AM76*'Staff Rates (Internal)'!B$7)</f>
        <v>135</v>
      </c>
      <c r="AO76" s="206">
        <f>(AH76*'Staff Rates (External)'!B$2)+(AI76*'Staff Rates (External)'!B$3)+(AJ76*'Staff Rates (External)'!B$4)+(AK76*'Staff Rates (External)'!B$5)+(AL76*'Staff Rates (External)'!B$6)+(AM76*'Staff Rates (External)'!B$7)</f>
        <v>500</v>
      </c>
      <c r="AR76" s="195" t="s">
        <v>887</v>
      </c>
      <c r="AS76" s="195" t="s">
        <v>896</v>
      </c>
      <c r="AX76" s="204"/>
      <c r="AY76" s="204"/>
      <c r="AZ76" s="204"/>
      <c r="BA76" s="204"/>
      <c r="BB76" s="204"/>
      <c r="BC76" s="204"/>
      <c r="BD76" s="204"/>
      <c r="BE76" s="204"/>
      <c r="BF76" s="204"/>
      <c r="BG76" s="204"/>
      <c r="BH76" s="204"/>
      <c r="BI76" s="204"/>
      <c r="BJ76" s="204"/>
      <c r="BK76" s="204"/>
      <c r="BL76" s="204"/>
      <c r="BM76" s="204"/>
      <c r="BN76" s="204"/>
      <c r="BO76" s="204"/>
      <c r="BP76" s="204"/>
      <c r="BQ76" s="204"/>
      <c r="BR76" s="204"/>
      <c r="BS76" s="204"/>
      <c r="BT76" s="204"/>
      <c r="BU76" s="204"/>
      <c r="BV76" s="204"/>
      <c r="BW76" s="204"/>
      <c r="BX76" s="204"/>
      <c r="BY76" s="204"/>
      <c r="BZ76" s="204"/>
      <c r="CA76" s="204"/>
      <c r="CB76" s="207"/>
      <c r="CC76" s="208" t="str">
        <f t="shared" si="2"/>
        <v>Crosstabs</v>
      </c>
      <c r="CD76" s="208">
        <f t="shared" si="3"/>
        <v>1.727272727</v>
      </c>
      <c r="CE76" s="203">
        <v>1.0</v>
      </c>
      <c r="CF76" s="203">
        <v>1.0</v>
      </c>
      <c r="CG76" s="203">
        <v>2.0</v>
      </c>
      <c r="CH76" s="203">
        <v>3.0</v>
      </c>
      <c r="CI76" s="203">
        <v>2.0</v>
      </c>
      <c r="CJ76" s="203">
        <v>2.0</v>
      </c>
      <c r="CK76" s="203">
        <v>2.0</v>
      </c>
      <c r="CL76" s="203">
        <v>3.0</v>
      </c>
      <c r="CM76" s="209">
        <v>1.0</v>
      </c>
      <c r="CN76" s="203">
        <v>1.0</v>
      </c>
      <c r="CO76" s="203">
        <v>1.0</v>
      </c>
    </row>
    <row r="77" ht="15.75" customHeight="1">
      <c r="A77" s="185" t="s">
        <v>757</v>
      </c>
      <c r="B77" s="185" t="s">
        <v>439</v>
      </c>
      <c r="C77" s="185" t="s">
        <v>80</v>
      </c>
      <c r="D77" s="185" t="s">
        <v>56</v>
      </c>
      <c r="E77" s="224" t="s">
        <v>904</v>
      </c>
      <c r="F77" s="196" t="str">
        <f t="shared" si="8"/>
        <v>dashboard - Standard</v>
      </c>
      <c r="G77" s="223" t="str">
        <f>'Ad-Hoc | Reporting &amp; Analytics'!$C17</f>
        <v>Qualtrics will provide one (1) report for Customer.
Such a report will include:
Up to 30 slides in English, covering:
- Background/methodology
- Key findings
- Support detail grouped by themes of content
- Appendix (if necessary)
1 master cut of data OR 1 cut of sub-segments (e.g., age, gender, income), with no more than 7 values per variable to be charted and stat tested in the report (as interesting and of note). Additional cuts can be included in cross-tabs (if purchased). 
Stat testing can be called out for up to 2 banner points of interest indicated in the headline or as a call out on the slide (e.g., banner = age and banner point = Gen Z) and compared to total respondents (e.g., 70% of respondents are aware of brand A; women are significantly more aware of brand A than men (90% vs. 50%)). Any statistical significance testing must operate under the same conditions discussed in the Crosstabs section (i.e., Qualtrics will not stat test overlapping categories). 
1 country (not multinational) 
1 dataset (no combining of multiple datasets or projects)
Targeted statistical significance testing (optional). Qualtrics will annotate statistical significance across 1 cut of sub-groups as defined/ agreed upon in the analysis plan. This could include brands, age ranges, user types, but is limited to one 'master cut'. Other statistical significance testing is available in cross-tabs (if purchased).
Unless otherwise agreed upon and accounted for in scope and timeline, such a report will not include:
Nested cuts (i.e., age nested within gender: male 18-34, female 18-34, etc.).
Open end coding
Cross tabs
Drivers, regression, or any advanced analytics
Delivery Team Responsibilities: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for up to 2 rounds of feedback revisions.
Conduct analysis and build report.
Conduct Quality Assurance (QA) on the accuracy of the data as charted/ narrative as written in the presentation to ensure it accurately reflects the detail in the agreed upon analysis plan.
Deliver report to Customer.
If requested by Customer, Qualtrics will walk through the results (in one presentation of up to 1 hour) over online call.
Customer Responsibilities: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Assumptions: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Estimated Timing: 10-12 business days
`</v>
      </c>
      <c r="H77" s="225" t="s">
        <v>905</v>
      </c>
      <c r="I77" s="190" t="s">
        <v>906</v>
      </c>
      <c r="J77" s="191">
        <f>'Ad-Hoc | Reporting &amp; Analytics'!$C18</f>
        <v>11500</v>
      </c>
      <c r="K77" s="198">
        <f>'Ad-Hoc | Reporting &amp; Analytics'!$C19</f>
        <v>10000</v>
      </c>
      <c r="L77" s="198"/>
      <c r="M77" s="198"/>
      <c r="N77" s="198"/>
      <c r="O77" s="199" t="s">
        <v>907</v>
      </c>
      <c r="P77" s="199" t="s">
        <v>908</v>
      </c>
      <c r="Q77" s="199" t="s">
        <v>763</v>
      </c>
      <c r="R77" s="195" t="s">
        <v>764</v>
      </c>
      <c r="S77" s="200"/>
      <c r="T77" s="195" t="s">
        <v>765</v>
      </c>
      <c r="U77" s="195" t="s">
        <v>765</v>
      </c>
      <c r="V77" s="195" t="s">
        <v>765</v>
      </c>
      <c r="W77" s="201"/>
      <c r="X77" s="206"/>
      <c r="Y77" s="195"/>
      <c r="Z77" s="195"/>
      <c r="AA77" s="195">
        <f>roundup(AN77,-1)</f>
        <v>2880</v>
      </c>
      <c r="AB77" s="202">
        <v>0.76</v>
      </c>
      <c r="AC77" s="203">
        <v>0.0</v>
      </c>
      <c r="AD77" s="203">
        <v>3.0</v>
      </c>
      <c r="AE77" s="195" t="s">
        <v>909</v>
      </c>
      <c r="AF77" s="195" t="s">
        <v>767</v>
      </c>
      <c r="AG77" s="195" t="s">
        <v>776</v>
      </c>
      <c r="AH77" s="204"/>
      <c r="AI77" s="204">
        <v>1.0</v>
      </c>
      <c r="AJ77" s="204">
        <v>24.0</v>
      </c>
      <c r="AK77" s="204"/>
      <c r="AL77" s="204">
        <v>12.0</v>
      </c>
      <c r="AM77" s="205"/>
      <c r="AN77" s="205">
        <f>(AH77*'Staff Rates (Internal)'!B$2)+(AI77*'Staff Rates (Internal)'!B$3)+(AJ77*'Staff Rates (Internal)'!B$4)+(AK77*'Staff Rates (Internal)'!B$5)+(AL77*'Staff Rates (Internal)'!B$6)+(AM77*'Staff Rates (Internal)'!B$7)</f>
        <v>2875.5</v>
      </c>
      <c r="AO77" s="206">
        <f>(AH77*'Staff Rates (External)'!B$2)+(AI77*'Staff Rates (External)'!B$3)+(AJ77*'Staff Rates (External)'!B$4)+(AK77*'Staff Rates (External)'!B$5)+(AL77*'Staff Rates (External)'!B$6)+(AM77*'Staff Rates (External)'!B$7)</f>
        <v>10450</v>
      </c>
      <c r="AR77" s="195" t="s">
        <v>769</v>
      </c>
      <c r="AS77" s="195" t="s">
        <v>770</v>
      </c>
      <c r="AX77" s="204" t="s">
        <v>765</v>
      </c>
      <c r="AY77" s="204"/>
      <c r="AZ77" s="204"/>
      <c r="BA77" s="204"/>
      <c r="BB77" s="204" t="s">
        <v>765</v>
      </c>
      <c r="BC77" s="204" t="s">
        <v>765</v>
      </c>
      <c r="BD77" s="204"/>
      <c r="BE77" s="204"/>
      <c r="BF77" s="204" t="s">
        <v>765</v>
      </c>
      <c r="BG77" s="204" t="s">
        <v>765</v>
      </c>
      <c r="BH77" s="204"/>
      <c r="BI77" s="204"/>
      <c r="BJ77" s="204"/>
      <c r="BK77" s="204"/>
      <c r="BL77" s="204"/>
      <c r="BM77" s="204"/>
      <c r="BN77" s="204"/>
      <c r="BO77" s="204"/>
      <c r="BP77" s="204"/>
      <c r="BQ77" s="204"/>
      <c r="BR77" s="204"/>
      <c r="BS77" s="204"/>
      <c r="BT77" s="204"/>
      <c r="BU77" s="204"/>
      <c r="BV77" s="204"/>
      <c r="BW77" s="204"/>
      <c r="BX77" s="204"/>
      <c r="BY77" s="204"/>
      <c r="BZ77" s="204"/>
      <c r="CA77" s="204"/>
      <c r="CB77" s="207"/>
      <c r="CC77" s="208" t="str">
        <f t="shared" si="2"/>
        <v>Reporting</v>
      </c>
      <c r="CD77" s="208">
        <f t="shared" si="3"/>
        <v>2.181818182</v>
      </c>
      <c r="CE77" s="203">
        <v>3.0</v>
      </c>
      <c r="CF77" s="203">
        <v>3.0</v>
      </c>
      <c r="CG77" s="203">
        <v>2.0</v>
      </c>
      <c r="CH77" s="203">
        <v>3.0</v>
      </c>
      <c r="CI77" s="203">
        <v>2.0</v>
      </c>
      <c r="CJ77" s="203">
        <v>3.0</v>
      </c>
      <c r="CK77" s="203">
        <v>2.0</v>
      </c>
      <c r="CL77" s="203">
        <v>3.0</v>
      </c>
      <c r="CM77" s="209">
        <v>1.0</v>
      </c>
      <c r="CN77" s="203">
        <v>1.0</v>
      </c>
      <c r="CO77" s="203">
        <v>1.0</v>
      </c>
    </row>
    <row r="78" ht="15.75" customHeight="1">
      <c r="A78" s="185" t="s">
        <v>757</v>
      </c>
      <c r="B78" s="185" t="s">
        <v>439</v>
      </c>
      <c r="C78" s="185" t="s">
        <v>80</v>
      </c>
      <c r="D78" s="185" t="s">
        <v>58</v>
      </c>
      <c r="E78" s="195" t="s">
        <v>910</v>
      </c>
      <c r="F78" s="196" t="str">
        <f t="shared" si="8"/>
        <v>RServFullRpt - Standard Plus</v>
      </c>
      <c r="G78" s="223" t="str">
        <f>'Ad-Hoc | Reporting &amp; Analytics'!$D17</f>
        <v>Qualtrics will provide one (1) report for Customer.
Such a report will include:
Up to 50 slides in English, covering:
- Background/methodology
- Key findings
- Support detail grouped by themes of content
- Appendix (if necessary)
Up to 2 master cuts of data or sub-segments (e.g., age, gender, income), with no more than 7 values per variable to be charted and stat tested in the report (as interesting and of note). Additional cuts may be included in the cross-tabs.
Up to 2 banner points of interest indicated in the headline or as a call out on the slide (e.g., banner = age and banner point = Gen Z) and compared to total respondents
1 country (not multinational)
1 dataset (no combining of multiple datasets or projects)
Targeted statistical significance testing (optional). Qualtrics will annotate statistical significance across 21 cuts of sub-groups as defined/ agreed upon in the analysis plan. This could include brands, age ranges, user types, but is limited to one 'master cut'. Other statistical significance testing is available in cross-tabs.
Unless otherwise agreed, such a report will not include:
Nested cuts (i.e., age nested within gender: male 18-34, female 18-34, etc.)
Open end coding
Cross tabs
Drivers, regression, or any advanced analytics
Delivery Team Responsibilities:
Conduct initial discovery call with Customer to determine and outline Customer report needs, including relevant questions, cuts, formatting, styles, etc.
Create an analysis plan that details all report sections, questions, and cuts and share with Customer for review.
Implement Customer feedback on the analysis plan and iterate as necessary.
Conduct analysis and build report.
Conduct Quality Assurance (QA) on the report.
Deliver report to Customer.
If requested by Customer, Qualtrics will walk through the results (in one presentation of up to 1 hour) over online call.
Customer Responsibilities:
Provide report inputs (including specific metrics or design preferences) requested by Qualtrics related to study goals.
Articulate any initial hypotheses that need to be tested/ validated in the analysis. 
Provide the sub-groups or master cuts of interest.
Provide all image files (e.g., brand logo) as needed for the report.
Assumptions:
Qualtrics will not be obligated to begin analysis or reporting until Customer has provided written sign off on the analysis plan and Customer’s sample has finished collecting. After analysis and reporting have started, changes requested by Customer may be subject to fees and further scoping by Qualtrics.
If market is a desired cut, survey content must be 90% consistent between markets. Less than 90% consistency will be subject to additional costs and further scoping by Qualtrics.
Report will be provided as a .ppt using a Qualtrics template.
Report requires purchase of either Survey Design or Survey Review and Consultation.
Qualtrics will deliver one (1) report after all of the Customer's waves of sample have been collected (for a total of 1 report).
Qualtrics will accommodate updates/ changes to the report deliverable to the extent that the requests do not conflict with what was agreed upon in the analysis plan and do not incur more than 4 additional hours of analyst time to update. These requests must be submitted within 2 weeks of initial delivery of the report.
Due to randomization, skip logic/display logic, or skipped questions, there may be data that are missing by design. If Customer wants to impute these missing data, this will be subject to additional costs and further scoping by Qualtrics.
At Qualtrics, the standard practice for statistical testing is to test at the 95% confidence level, unless otherwise specified in the analysis plan. We use t-tests for means, and Z-tests for percentages. We do not do any additional statistical testing or adjustments to statistical testing for differences across 3+ groups (ANOVAs, chi-squared tests, etc.). We also do not report on specific statistical values (e.g., p-values, Z scores) for individual tests or report any additional information (e.g. error bars); we only report if the difference between the groups is statistically significant or not. 
For example, when Qualtrics reports out on differences between (A) 18 to 24 year olds, (B) 25 to 34 year olds, and (C) 35 + year olds, we use pairwise tests to examine differences between A and B, B and C, and A and C, and report on those observed differences. 
Qualtrics does not do any additional adjustments beyond this reporting, unless otherwise specified in the analysis plan. 
If Customer would like Qualtrics to (a) test at a level other than 95%, (b) to perform any additional adjustments to the pairwise tests, or (c) report out on individual p-values from t-tests or Z-tests, this request should be disclosed by Customer during the analysis plan stage of the project. 
Any non-standard statistical testing may result in additional costs or implications to timeline. Should Customer request edits after the analysis plan is already approved, such will be subject to additional costs and further scoping by Qualtrics, including amending the agreed-upon timelines for the project deliverables.
Estimated Timing: 12-15 business days
</v>
      </c>
      <c r="H78" s="210" t="s">
        <v>911</v>
      </c>
      <c r="I78" s="190" t="s">
        <v>912</v>
      </c>
      <c r="J78" s="191">
        <f>'Ad-Hoc | Reporting &amp; Analytics'!$D18</f>
        <v>16500</v>
      </c>
      <c r="K78" s="198">
        <f>'Ad-Hoc | Reporting &amp; Analytics'!$D19</f>
        <v>15000</v>
      </c>
      <c r="L78" s="198"/>
      <c r="M78" s="198"/>
      <c r="N78" s="198"/>
      <c r="O78" s="199" t="s">
        <v>907</v>
      </c>
      <c r="P78" s="199" t="s">
        <v>908</v>
      </c>
      <c r="Q78" s="199" t="s">
        <v>763</v>
      </c>
      <c r="R78" s="195" t="s">
        <v>764</v>
      </c>
      <c r="S78" s="200"/>
      <c r="T78" s="195" t="s">
        <v>765</v>
      </c>
      <c r="U78" s="195" t="s">
        <v>765</v>
      </c>
      <c r="V78" s="195" t="s">
        <v>765</v>
      </c>
      <c r="W78" s="201"/>
      <c r="X78" s="195"/>
      <c r="Y78" s="195"/>
      <c r="Z78" s="195"/>
      <c r="AA78" s="195">
        <f t="shared" ref="AA78:AA80" si="9">ROUNDUP(AN78,-1)</f>
        <v>4760</v>
      </c>
      <c r="AB78" s="202">
        <v>0.76</v>
      </c>
      <c r="AC78" s="203">
        <v>0.0</v>
      </c>
      <c r="AD78" s="203">
        <v>3.0</v>
      </c>
      <c r="AE78" s="195" t="s">
        <v>909</v>
      </c>
      <c r="AF78" s="195" t="s">
        <v>767</v>
      </c>
      <c r="AG78" s="195" t="s">
        <v>776</v>
      </c>
      <c r="AH78" s="204"/>
      <c r="AI78" s="204">
        <v>1.0</v>
      </c>
      <c r="AJ78" s="204">
        <v>16.0</v>
      </c>
      <c r="AK78" s="204">
        <v>24.0</v>
      </c>
      <c r="AL78" s="204">
        <v>16.0</v>
      </c>
      <c r="AM78" s="205"/>
      <c r="AN78" s="205">
        <f>(AH78*'Staff Rates (Internal)'!B$2)+(AI78*'Staff Rates (Internal)'!B$3)+(AJ78*'Staff Rates (Internal)'!B$4)+(AK78*'Staff Rates (Internal)'!B$5)+(AL78*'Staff Rates (Internal)'!B$6)+(AM78*'Staff Rates (Internal)'!B$7)</f>
        <v>4759.5</v>
      </c>
      <c r="AO78" s="206">
        <f>(AH78*'Staff Rates (External)'!B$2)+(AI78*'Staff Rates (External)'!B$3)+(AJ78*'Staff Rates (External)'!B$4)+(AK78*'Staff Rates (External)'!B$5)+(AL78*'Staff Rates (External)'!B$6)+(AM78*'Staff Rates (External)'!B$7)</f>
        <v>15850</v>
      </c>
      <c r="AR78" s="195" t="s">
        <v>769</v>
      </c>
      <c r="AS78" s="195" t="s">
        <v>770</v>
      </c>
      <c r="AX78" s="204"/>
      <c r="AY78" s="204" t="s">
        <v>765</v>
      </c>
      <c r="AZ78" s="204"/>
      <c r="BA78" s="204"/>
      <c r="BB78" s="204"/>
      <c r="BC78" s="204"/>
      <c r="BD78" s="204" t="s">
        <v>765</v>
      </c>
      <c r="BE78" s="204"/>
      <c r="BF78" s="204"/>
      <c r="BG78" s="204"/>
      <c r="BH78" s="204" t="s">
        <v>765</v>
      </c>
      <c r="BI78" s="204"/>
      <c r="BJ78" s="204" t="s">
        <v>765</v>
      </c>
      <c r="BK78" s="204"/>
      <c r="BL78" s="204"/>
      <c r="BM78" s="204"/>
      <c r="BN78" s="204"/>
      <c r="BO78" s="204"/>
      <c r="BP78" s="204"/>
      <c r="BQ78" s="204"/>
      <c r="BR78" s="204"/>
      <c r="BS78" s="204"/>
      <c r="BT78" s="204"/>
      <c r="BU78" s="204"/>
      <c r="BV78" s="204"/>
      <c r="BW78" s="204"/>
      <c r="BX78" s="204"/>
      <c r="BY78" s="204"/>
      <c r="BZ78" s="204"/>
      <c r="CA78" s="204"/>
      <c r="CB78" s="207"/>
      <c r="CC78" s="208" t="str">
        <f t="shared" si="2"/>
        <v>Reporting</v>
      </c>
      <c r="CD78" s="208">
        <f t="shared" si="3"/>
        <v>2.181818182</v>
      </c>
      <c r="CE78" s="203">
        <v>3.0</v>
      </c>
      <c r="CF78" s="203">
        <v>3.0</v>
      </c>
      <c r="CG78" s="203">
        <v>2.0</v>
      </c>
      <c r="CH78" s="203">
        <v>3.0</v>
      </c>
      <c r="CI78" s="203">
        <v>2.0</v>
      </c>
      <c r="CJ78" s="203">
        <v>3.0</v>
      </c>
      <c r="CK78" s="203">
        <v>2.0</v>
      </c>
      <c r="CL78" s="203">
        <v>3.0</v>
      </c>
      <c r="CM78" s="209">
        <v>1.0</v>
      </c>
      <c r="CN78" s="203">
        <v>1.0</v>
      </c>
      <c r="CO78" s="203">
        <v>1.0</v>
      </c>
    </row>
    <row r="79" ht="15.75" customHeight="1">
      <c r="A79" s="185" t="s">
        <v>757</v>
      </c>
      <c r="B79" s="185" t="s">
        <v>439</v>
      </c>
      <c r="C79" s="185" t="s">
        <v>80</v>
      </c>
      <c r="D79" s="185" t="s">
        <v>59</v>
      </c>
      <c r="E79" s="195" t="s">
        <v>910</v>
      </c>
      <c r="F79" s="196" t="str">
        <f t="shared" si="8"/>
        <v>RServFullRpt - Advanced</v>
      </c>
      <c r="G79" s="225" t="s">
        <v>913</v>
      </c>
      <c r="H79" s="210" t="s">
        <v>914</v>
      </c>
      <c r="I79" s="190" t="s">
        <v>912</v>
      </c>
      <c r="J79" s="191">
        <f>'Ad-Hoc | Reporting &amp; Analytics'!$E18</f>
        <v>21500</v>
      </c>
      <c r="K79" s="198">
        <f>'Ad-Hoc | Reporting &amp; Analytics'!$E19</f>
        <v>20000</v>
      </c>
      <c r="L79" s="198"/>
      <c r="M79" s="198"/>
      <c r="N79" s="198"/>
      <c r="O79" s="199" t="s">
        <v>907</v>
      </c>
      <c r="P79" s="199" t="s">
        <v>908</v>
      </c>
      <c r="Q79" s="199" t="s">
        <v>763</v>
      </c>
      <c r="R79" s="195" t="s">
        <v>764</v>
      </c>
      <c r="S79" s="200"/>
      <c r="T79" s="195" t="s">
        <v>765</v>
      </c>
      <c r="U79" s="195" t="s">
        <v>765</v>
      </c>
      <c r="V79" s="195" t="s">
        <v>765</v>
      </c>
      <c r="W79" s="201"/>
      <c r="X79" s="195"/>
      <c r="Y79" s="195"/>
      <c r="Z79" s="195"/>
      <c r="AA79" s="195">
        <f t="shared" si="9"/>
        <v>6140</v>
      </c>
      <c r="AB79" s="202">
        <v>0.76</v>
      </c>
      <c r="AC79" s="203">
        <v>0.0</v>
      </c>
      <c r="AD79" s="203">
        <v>3.0</v>
      </c>
      <c r="AE79" s="195" t="s">
        <v>909</v>
      </c>
      <c r="AF79" s="195" t="s">
        <v>767</v>
      </c>
      <c r="AG79" s="195" t="s">
        <v>776</v>
      </c>
      <c r="AH79" s="204"/>
      <c r="AI79" s="204">
        <v>2.0</v>
      </c>
      <c r="AJ79" s="204">
        <v>20.0</v>
      </c>
      <c r="AK79" s="204">
        <v>32.0</v>
      </c>
      <c r="AL79" s="204">
        <v>20.0</v>
      </c>
      <c r="AM79" s="205"/>
      <c r="AN79" s="205">
        <f>(AH79*'Staff Rates (Internal)'!B$2)+(AI79*'Staff Rates (Internal)'!B$3)+(AJ79*'Staff Rates (Internal)'!B$4)+(AK79*'Staff Rates (Internal)'!B$5)+(AL79*'Staff Rates (Internal)'!B$6)+(AM79*'Staff Rates (Internal)'!B$7)</f>
        <v>6135</v>
      </c>
      <c r="AO79" s="206">
        <f>(AH79*'Staff Rates (External)'!B$2)+(AI79*'Staff Rates (External)'!B$3)+(AJ79*'Staff Rates (External)'!B$4)+(AK79*'Staff Rates (External)'!B$5)+(AL79*'Staff Rates (External)'!B$6)+(AM79*'Staff Rates (External)'!B$7)</f>
        <v>20500</v>
      </c>
      <c r="AR79" s="195" t="s">
        <v>769</v>
      </c>
      <c r="AS79" s="195" t="s">
        <v>770</v>
      </c>
      <c r="AX79" s="204"/>
      <c r="AY79" s="204"/>
      <c r="AZ79" s="204" t="s">
        <v>765</v>
      </c>
      <c r="BA79" s="204"/>
      <c r="BB79" s="204"/>
      <c r="BC79" s="204"/>
      <c r="BD79" s="204"/>
      <c r="BE79" s="204" t="s">
        <v>765</v>
      </c>
      <c r="BF79" s="204"/>
      <c r="BG79" s="204"/>
      <c r="BH79" s="204"/>
      <c r="BI79" s="204" t="s">
        <v>765</v>
      </c>
      <c r="BJ79" s="204"/>
      <c r="BK79" s="204" t="s">
        <v>765</v>
      </c>
      <c r="BL79" s="204" t="s">
        <v>765</v>
      </c>
      <c r="BM79" s="204"/>
      <c r="BN79" s="204"/>
      <c r="BO79" s="204"/>
      <c r="BP79" s="204"/>
      <c r="BQ79" s="204"/>
      <c r="BR79" s="204"/>
      <c r="BS79" s="204"/>
      <c r="BT79" s="204"/>
      <c r="BU79" s="204"/>
      <c r="BV79" s="204"/>
      <c r="BW79" s="204"/>
      <c r="BX79" s="204"/>
      <c r="BY79" s="204"/>
      <c r="BZ79" s="204"/>
      <c r="CA79" s="204"/>
      <c r="CB79" s="207"/>
      <c r="CC79" s="208" t="str">
        <f t="shared" si="2"/>
        <v>Reporting</v>
      </c>
      <c r="CD79" s="208">
        <f t="shared" si="3"/>
        <v>2.181818182</v>
      </c>
      <c r="CE79" s="203">
        <v>3.0</v>
      </c>
      <c r="CF79" s="203">
        <v>3.0</v>
      </c>
      <c r="CG79" s="203">
        <v>2.0</v>
      </c>
      <c r="CH79" s="203">
        <v>3.0</v>
      </c>
      <c r="CI79" s="203">
        <v>2.0</v>
      </c>
      <c r="CJ79" s="203">
        <v>3.0</v>
      </c>
      <c r="CK79" s="203">
        <v>2.0</v>
      </c>
      <c r="CL79" s="203">
        <v>3.0</v>
      </c>
      <c r="CM79" s="209">
        <v>1.0</v>
      </c>
      <c r="CN79" s="203">
        <v>1.0</v>
      </c>
      <c r="CO79" s="203">
        <v>1.0</v>
      </c>
    </row>
    <row r="80" ht="15.75" customHeight="1">
      <c r="A80" s="185" t="s">
        <v>757</v>
      </c>
      <c r="B80" s="185" t="s">
        <v>439</v>
      </c>
      <c r="C80" s="185" t="s">
        <v>80</v>
      </c>
      <c r="D80" s="185" t="s">
        <v>60</v>
      </c>
      <c r="E80" s="195" t="s">
        <v>910</v>
      </c>
      <c r="F80" s="196" t="str">
        <f t="shared" si="8"/>
        <v>RServFullRpt - Custom</v>
      </c>
      <c r="G80" s="196" t="str">
        <f>'Ad-Hoc | Reporting &amp; Analytics'!$F17</f>
        <v>Custom reporting for additional slides, addition cuts or nested cuts, custom stat testing needs, additional drivers, combining data from 3+ projects, non-traditional formats, etc.</v>
      </c>
      <c r="H80" s="197"/>
      <c r="I80" s="191"/>
      <c r="J80" s="191" t="str">
        <f>'Ad-Hoc | Reporting &amp; Analytics'!$F18</f>
        <v>Custom Quote</v>
      </c>
      <c r="K80" s="198"/>
      <c r="L80" s="198"/>
      <c r="M80" s="198"/>
      <c r="N80" s="198"/>
      <c r="O80" s="198"/>
      <c r="P80" s="198"/>
      <c r="Q80" s="198" t="s">
        <v>915</v>
      </c>
      <c r="R80" s="195" t="s">
        <v>764</v>
      </c>
      <c r="S80" s="200"/>
      <c r="T80" s="195" t="s">
        <v>765</v>
      </c>
      <c r="U80" s="195" t="s">
        <v>765</v>
      </c>
      <c r="V80" s="195" t="s">
        <v>765</v>
      </c>
      <c r="W80" s="201"/>
      <c r="X80" s="195"/>
      <c r="Y80" s="195"/>
      <c r="Z80" s="195"/>
      <c r="AA80" s="195">
        <f t="shared" si="9"/>
        <v>140</v>
      </c>
      <c r="AB80" s="202">
        <v>0.76</v>
      </c>
      <c r="AC80" s="203">
        <v>0.0</v>
      </c>
      <c r="AD80" s="203">
        <v>3.0</v>
      </c>
      <c r="AE80" s="195" t="s">
        <v>909</v>
      </c>
      <c r="AF80" s="195" t="s">
        <v>767</v>
      </c>
      <c r="AG80" s="195" t="s">
        <v>776</v>
      </c>
      <c r="AH80" s="204"/>
      <c r="AI80" s="204">
        <v>2.0</v>
      </c>
      <c r="AJ80" s="204"/>
      <c r="AK80" s="204"/>
      <c r="AL80" s="204"/>
      <c r="AM80" s="205"/>
      <c r="AN80" s="205">
        <f>(AH80*'Staff Rates (Internal)'!B$2)+(AI80*'Staff Rates (Internal)'!B$3)+(AJ80*'Staff Rates (Internal)'!B$4)+(AK80*'Staff Rates (Internal)'!B$5)+(AL80*'Staff Rates (Internal)'!B$6)+(AM80*'Staff Rates (Internal)'!B$7)</f>
        <v>135</v>
      </c>
      <c r="AO80" s="206">
        <f>(AH80*'Staff Rates (External)'!B$2)+(AI80*'Staff Rates (External)'!B$3)+(AJ80*'Staff Rates (External)'!B$4)+(AK80*'Staff Rates (External)'!B$5)+(AL80*'Staff Rates (External)'!B$6)+(AM80*'Staff Rates (External)'!B$7)</f>
        <v>500</v>
      </c>
      <c r="AR80" s="195" t="s">
        <v>769</v>
      </c>
      <c r="AS80" s="195" t="s">
        <v>770</v>
      </c>
      <c r="AX80" s="204"/>
      <c r="AY80" s="204"/>
      <c r="AZ80" s="204"/>
      <c r="BA80" s="204" t="s">
        <v>765</v>
      </c>
      <c r="BB80" s="204"/>
      <c r="BC80" s="204"/>
      <c r="BD80" s="204"/>
      <c r="BE80" s="204"/>
      <c r="BF80" s="204"/>
      <c r="BG80" s="204"/>
      <c r="BH80" s="204"/>
      <c r="BI80" s="204"/>
      <c r="BJ80" s="204"/>
      <c r="BK80" s="204"/>
      <c r="BL80" s="204"/>
      <c r="BM80" s="204" t="s">
        <v>765</v>
      </c>
      <c r="BN80" s="204"/>
      <c r="BO80" s="204"/>
      <c r="BP80" s="204"/>
      <c r="BQ80" s="204"/>
      <c r="BR80" s="204"/>
      <c r="BS80" s="204"/>
      <c r="BT80" s="204"/>
      <c r="BU80" s="204"/>
      <c r="BV80" s="204"/>
      <c r="BW80" s="204"/>
      <c r="BX80" s="204"/>
      <c r="BY80" s="204"/>
      <c r="BZ80" s="204"/>
      <c r="CA80" s="204"/>
      <c r="CB80" s="207"/>
      <c r="CC80" s="208" t="str">
        <f t="shared" si="2"/>
        <v>Reporting</v>
      </c>
      <c r="CD80" s="208">
        <f t="shared" si="3"/>
        <v>1.818181818</v>
      </c>
      <c r="CE80" s="203">
        <v>1.0</v>
      </c>
      <c r="CF80" s="203">
        <v>1.0</v>
      </c>
      <c r="CG80" s="203">
        <v>2.0</v>
      </c>
      <c r="CH80" s="203">
        <v>3.0</v>
      </c>
      <c r="CI80" s="203">
        <v>2.0</v>
      </c>
      <c r="CJ80" s="203">
        <v>3.0</v>
      </c>
      <c r="CK80" s="203">
        <v>2.0</v>
      </c>
      <c r="CL80" s="203">
        <v>3.0</v>
      </c>
      <c r="CM80" s="209">
        <v>1.0</v>
      </c>
      <c r="CN80" s="203">
        <v>1.0</v>
      </c>
      <c r="CO80" s="203">
        <v>1.0</v>
      </c>
    </row>
    <row r="81" ht="15.75" customHeight="1">
      <c r="A81" s="185" t="s">
        <v>757</v>
      </c>
      <c r="B81" s="226" t="s">
        <v>439</v>
      </c>
      <c r="C81" s="226" t="s">
        <v>472</v>
      </c>
      <c r="D81" s="226" t="s">
        <v>56</v>
      </c>
      <c r="E81" s="227" t="s">
        <v>916</v>
      </c>
      <c r="F81" s="228" t="str">
        <f t="shared" si="8"/>
        <v>RServExecSum - Standard</v>
      </c>
      <c r="G81" s="228" t="str">
        <f>'Ad-Hoc | Reporting &amp; Analytics'!C22</f>
        <v/>
      </c>
      <c r="H81" s="229" t="s">
        <v>917</v>
      </c>
      <c r="I81" s="190" t="s">
        <v>918</v>
      </c>
      <c r="J81" s="191" t="str">
        <f>'Ad-Hoc | Reporting &amp; Analytics'!C23</f>
        <v/>
      </c>
      <c r="K81" s="191"/>
      <c r="L81" s="191"/>
      <c r="M81" s="191"/>
      <c r="N81" s="191"/>
      <c r="O81" s="198"/>
      <c r="P81" s="198"/>
      <c r="Q81" s="198"/>
      <c r="R81" s="195"/>
      <c r="S81" s="200"/>
      <c r="T81" s="195" t="s">
        <v>765</v>
      </c>
      <c r="U81" s="195" t="s">
        <v>765</v>
      </c>
      <c r="V81" s="195" t="s">
        <v>765</v>
      </c>
      <c r="W81" s="201"/>
      <c r="X81" s="195"/>
      <c r="Y81" s="195"/>
      <c r="Z81" s="195"/>
      <c r="AA81" s="195"/>
      <c r="AB81" s="202"/>
      <c r="AC81" s="203">
        <v>0.0</v>
      </c>
      <c r="AD81" s="203">
        <v>3.0</v>
      </c>
      <c r="AE81" s="195" t="s">
        <v>472</v>
      </c>
      <c r="AF81" s="195"/>
      <c r="AG81" s="195"/>
      <c r="AH81" s="204"/>
      <c r="AI81" s="204"/>
      <c r="AJ81" s="204"/>
      <c r="AK81" s="204"/>
      <c r="AL81" s="204"/>
      <c r="AM81" s="205"/>
      <c r="AN81" s="205">
        <f>(AH81*'Staff Rates (Internal)'!B$2)+(AI81*'Staff Rates (Internal)'!B$3)+(AJ81*'Staff Rates (Internal)'!B$4)+(AK81*'Staff Rates (Internal)'!B$5)+(AL81*'Staff Rates (Internal)'!B$6)+(AM81*'Staff Rates (Internal)'!B$7)</f>
        <v>0</v>
      </c>
      <c r="AO81" s="206">
        <f>(AH81*'Staff Rates (External)'!B$2)+(AI81*'Staff Rates (External)'!B$3)+(AJ81*'Staff Rates (External)'!B$4)+(AK81*'Staff Rates (External)'!B$5)+(AL81*'Staff Rates (External)'!B$6)+(AM81*'Staff Rates (External)'!B$7)</f>
        <v>0</v>
      </c>
      <c r="AR81" s="195"/>
      <c r="AS81" s="195"/>
      <c r="AX81" s="204"/>
      <c r="AY81" s="204"/>
      <c r="AZ81" s="204"/>
      <c r="BA81" s="204"/>
      <c r="BB81" s="204"/>
      <c r="BC81" s="204"/>
      <c r="BD81" s="204"/>
      <c r="BE81" s="204"/>
      <c r="BF81" s="204"/>
      <c r="BG81" s="204"/>
      <c r="BH81" s="204"/>
      <c r="BI81" s="204"/>
      <c r="BJ81" s="204"/>
      <c r="BK81" s="204"/>
      <c r="BL81" s="204"/>
      <c r="BM81" s="204"/>
      <c r="BN81" s="204"/>
      <c r="BO81" s="204"/>
      <c r="BP81" s="204"/>
      <c r="BQ81" s="204"/>
      <c r="BR81" s="204"/>
      <c r="BS81" s="204"/>
      <c r="BT81" s="204"/>
      <c r="BU81" s="204"/>
      <c r="BV81" s="204"/>
      <c r="BW81" s="204"/>
      <c r="BX81" s="204"/>
      <c r="BY81" s="204"/>
      <c r="BZ81" s="204"/>
      <c r="CA81" s="204"/>
      <c r="CB81" s="207"/>
      <c r="CC81" s="208" t="str">
        <f t="shared" si="2"/>
        <v>Executive Summary</v>
      </c>
      <c r="CD81" s="208">
        <f t="shared" si="3"/>
        <v>1.818181818</v>
      </c>
      <c r="CE81" s="203">
        <v>1.0</v>
      </c>
      <c r="CF81" s="203">
        <v>3.0</v>
      </c>
      <c r="CG81" s="203">
        <v>2.0</v>
      </c>
      <c r="CH81" s="203">
        <v>1.0</v>
      </c>
      <c r="CI81" s="203">
        <v>2.0</v>
      </c>
      <c r="CJ81" s="203">
        <v>3.0</v>
      </c>
      <c r="CK81" s="203">
        <v>2.0</v>
      </c>
      <c r="CL81" s="203">
        <v>3.0</v>
      </c>
      <c r="CM81" s="209">
        <v>1.0</v>
      </c>
      <c r="CN81" s="203">
        <v>1.0</v>
      </c>
      <c r="CO81" s="203">
        <v>1.0</v>
      </c>
    </row>
    <row r="82" ht="15.75" customHeight="1">
      <c r="A82" s="185" t="s">
        <v>757</v>
      </c>
      <c r="B82" s="226" t="s">
        <v>439</v>
      </c>
      <c r="C82" s="226" t="s">
        <v>472</v>
      </c>
      <c r="D82" s="226" t="s">
        <v>58</v>
      </c>
      <c r="E82" s="227" t="s">
        <v>916</v>
      </c>
      <c r="F82" s="228" t="str">
        <f t="shared" si="8"/>
        <v>RServExecSum - Standard Plus</v>
      </c>
      <c r="G82" s="228" t="str">
        <f>'Ad-Hoc | Reporting &amp; Analytics'!D22</f>
        <v>1 report, including: 
Up to 10 slides in English
Key findings
1 cut of data or sub-segments
1 country (not multi-national)
1 dataset (no combining of multiple datasets or projects)
Stat testing available
Assumptions:
Client provides an outline of slides they want included (NPS, imagery statements, brand funnel, etc.)
Does not include drivers or any advanced analytics
Does not include open end coding
Report will be provided as a .ppt using a Qualtrics template
Report requires purchase of either Survey Design or Survey Review and Consultation.
Estimated Timing: 5-7 business days</v>
      </c>
      <c r="H82" s="229" t="s">
        <v>919</v>
      </c>
      <c r="I82" s="190" t="s">
        <v>918</v>
      </c>
      <c r="J82" s="191">
        <f>'Ad-Hoc | Reporting &amp; Analytics'!D23</f>
        <v>5000</v>
      </c>
      <c r="K82" s="191"/>
      <c r="L82" s="191"/>
      <c r="M82" s="191"/>
      <c r="N82" s="191"/>
      <c r="O82" s="198"/>
      <c r="P82" s="198"/>
      <c r="Q82" s="198"/>
      <c r="R82" s="195"/>
      <c r="S82" s="200"/>
      <c r="T82" s="195" t="s">
        <v>765</v>
      </c>
      <c r="U82" s="195" t="s">
        <v>765</v>
      </c>
      <c r="V82" s="195" t="s">
        <v>765</v>
      </c>
      <c r="W82" s="201"/>
      <c r="X82" s="195"/>
      <c r="Y82" s="195"/>
      <c r="Z82" s="195"/>
      <c r="AA82" s="195"/>
      <c r="AB82" s="202"/>
      <c r="AC82" s="203">
        <v>0.0</v>
      </c>
      <c r="AD82" s="203">
        <v>3.0</v>
      </c>
      <c r="AE82" s="195" t="s">
        <v>472</v>
      </c>
      <c r="AF82" s="195"/>
      <c r="AG82" s="195"/>
      <c r="AH82" s="204"/>
      <c r="AI82" s="204"/>
      <c r="AJ82" s="204"/>
      <c r="AK82" s="204"/>
      <c r="AL82" s="204"/>
      <c r="AM82" s="205"/>
      <c r="AN82" s="205">
        <f>(AH82*'Staff Rates (Internal)'!B$2)+(AI82*'Staff Rates (Internal)'!B$3)+(AJ82*'Staff Rates (Internal)'!B$4)+(AK82*'Staff Rates (Internal)'!B$5)+(AL82*'Staff Rates (Internal)'!B$6)+(AM82*'Staff Rates (Internal)'!B$7)</f>
        <v>0</v>
      </c>
      <c r="AO82" s="206">
        <f>(AH82*'Staff Rates (External)'!B$2)+(AI82*'Staff Rates (External)'!B$3)+(AJ82*'Staff Rates (External)'!B$4)+(AK82*'Staff Rates (External)'!B$5)+(AL82*'Staff Rates (External)'!B$6)+(AM82*'Staff Rates (External)'!B$7)</f>
        <v>0</v>
      </c>
      <c r="AR82" s="195"/>
      <c r="AS82" s="195"/>
      <c r="AX82" s="204"/>
      <c r="AY82" s="204"/>
      <c r="AZ82" s="204"/>
      <c r="BA82" s="204"/>
      <c r="BB82" s="204"/>
      <c r="BC82" s="204"/>
      <c r="BD82" s="204"/>
      <c r="BE82" s="204"/>
      <c r="BF82" s="204"/>
      <c r="BG82" s="204"/>
      <c r="BH82" s="204"/>
      <c r="BI82" s="204"/>
      <c r="BJ82" s="204"/>
      <c r="BK82" s="204"/>
      <c r="BL82" s="204"/>
      <c r="BM82" s="204"/>
      <c r="BN82" s="204"/>
      <c r="BO82" s="204"/>
      <c r="BP82" s="204"/>
      <c r="BQ82" s="204"/>
      <c r="BR82" s="204"/>
      <c r="BS82" s="204"/>
      <c r="BT82" s="204"/>
      <c r="BU82" s="204"/>
      <c r="BV82" s="204"/>
      <c r="BW82" s="204"/>
      <c r="BX82" s="204"/>
      <c r="BY82" s="204"/>
      <c r="BZ82" s="204"/>
      <c r="CA82" s="204"/>
      <c r="CB82" s="207"/>
      <c r="CC82" s="208" t="str">
        <f t="shared" si="2"/>
        <v>Executive Summary</v>
      </c>
      <c r="CD82" s="208">
        <f t="shared" si="3"/>
        <v>1.818181818</v>
      </c>
      <c r="CE82" s="203">
        <v>1.0</v>
      </c>
      <c r="CF82" s="203">
        <v>3.0</v>
      </c>
      <c r="CG82" s="203">
        <v>2.0</v>
      </c>
      <c r="CH82" s="203">
        <v>1.0</v>
      </c>
      <c r="CI82" s="203">
        <v>2.0</v>
      </c>
      <c r="CJ82" s="203">
        <v>3.0</v>
      </c>
      <c r="CK82" s="203">
        <v>2.0</v>
      </c>
      <c r="CL82" s="203">
        <v>3.0</v>
      </c>
      <c r="CM82" s="209">
        <v>1.0</v>
      </c>
      <c r="CN82" s="203">
        <v>1.0</v>
      </c>
      <c r="CO82" s="203">
        <v>1.0</v>
      </c>
    </row>
    <row r="83" ht="15.75" customHeight="1">
      <c r="A83" s="185" t="s">
        <v>757</v>
      </c>
      <c r="B83" s="185" t="s">
        <v>439</v>
      </c>
      <c r="C83" s="185" t="s">
        <v>472</v>
      </c>
      <c r="D83" s="185" t="s">
        <v>59</v>
      </c>
      <c r="E83" s="195" t="s">
        <v>916</v>
      </c>
      <c r="F83" s="196" t="str">
        <f t="shared" si="8"/>
        <v>RServExecSum - Advanced</v>
      </c>
      <c r="G83" s="196" t="str">
        <f>'Ad-Hoc | Reporting &amp; Analytics'!E22</f>
        <v>1 report, including:
Up to 10 slides in English
Key findings
1 cut of data or sub-segments
1 country (not multi-national)
1 dataset (no combining of multiple datasets or projects)
Stat testing available
Assumptions:
Qualtrics reviews the data to determine outline of executive summary
Does not include drivers or any advanced analytics
Does not include open end coding
Report will be provided as a .ppt using a Qualtrics template
Report requires purchase of either Survey Design or Survey Review and Consultation.
Estimated Timing: 7-9 business days</v>
      </c>
      <c r="H83" s="197" t="s">
        <v>920</v>
      </c>
      <c r="I83" s="190" t="s">
        <v>918</v>
      </c>
      <c r="J83" s="191">
        <f>'Ad-Hoc | Reporting &amp; Analytics'!E23</f>
        <v>10000</v>
      </c>
      <c r="K83" s="191"/>
      <c r="L83" s="191"/>
      <c r="M83" s="191"/>
      <c r="N83" s="191"/>
      <c r="O83" s="198"/>
      <c r="P83" s="198"/>
      <c r="Q83" s="198"/>
      <c r="R83" s="195"/>
      <c r="S83" s="200"/>
      <c r="T83" s="195" t="s">
        <v>765</v>
      </c>
      <c r="U83" s="195" t="s">
        <v>765</v>
      </c>
      <c r="V83" s="195" t="s">
        <v>765</v>
      </c>
      <c r="W83" s="201"/>
      <c r="X83" s="195"/>
      <c r="Y83" s="195"/>
      <c r="Z83" s="195"/>
      <c r="AA83" s="195"/>
      <c r="AB83" s="202"/>
      <c r="AC83" s="203">
        <v>0.0</v>
      </c>
      <c r="AD83" s="203">
        <v>3.0</v>
      </c>
      <c r="AE83" s="195" t="s">
        <v>472</v>
      </c>
      <c r="AF83" s="195"/>
      <c r="AG83" s="195"/>
      <c r="AH83" s="204"/>
      <c r="AI83" s="204"/>
      <c r="AJ83" s="204"/>
      <c r="AK83" s="204"/>
      <c r="AL83" s="204"/>
      <c r="AM83" s="205"/>
      <c r="AN83" s="205">
        <f>(AH83*'Staff Rates (Internal)'!B$2)+(AI83*'Staff Rates (Internal)'!B$3)+(AJ83*'Staff Rates (Internal)'!B$4)+(AK83*'Staff Rates (Internal)'!B$5)+(AL83*'Staff Rates (Internal)'!B$6)+(AM83*'Staff Rates (Internal)'!B$7)</f>
        <v>0</v>
      </c>
      <c r="AO83" s="206">
        <f>(AH83*'Staff Rates (External)'!B$2)+(AI83*'Staff Rates (External)'!B$3)+(AJ83*'Staff Rates (External)'!B$4)+(AK83*'Staff Rates (External)'!B$5)+(AL83*'Staff Rates (External)'!B$6)+(AM83*'Staff Rates (External)'!B$7)</f>
        <v>0</v>
      </c>
      <c r="AR83" s="195"/>
      <c r="AS83" s="195"/>
      <c r="AX83" s="204"/>
      <c r="AY83" s="204"/>
      <c r="AZ83" s="204"/>
      <c r="BA83" s="204"/>
      <c r="BB83" s="204"/>
      <c r="BC83" s="204"/>
      <c r="BD83" s="204"/>
      <c r="BE83" s="204"/>
      <c r="BF83" s="204"/>
      <c r="BG83" s="204"/>
      <c r="BH83" s="204"/>
      <c r="BI83" s="204"/>
      <c r="BJ83" s="204"/>
      <c r="BK83" s="204"/>
      <c r="BL83" s="204"/>
      <c r="BM83" s="204"/>
      <c r="BN83" s="204"/>
      <c r="BO83" s="204"/>
      <c r="BP83" s="204"/>
      <c r="BQ83" s="204"/>
      <c r="BR83" s="204"/>
      <c r="BS83" s="204"/>
      <c r="BT83" s="204"/>
      <c r="BU83" s="204"/>
      <c r="BV83" s="204"/>
      <c r="BW83" s="204"/>
      <c r="BX83" s="204"/>
      <c r="BY83" s="204"/>
      <c r="BZ83" s="204"/>
      <c r="CA83" s="204"/>
      <c r="CB83" s="207"/>
      <c r="CC83" s="208" t="str">
        <f t="shared" si="2"/>
        <v>Executive Summary</v>
      </c>
      <c r="CD83" s="208">
        <f t="shared" si="3"/>
        <v>1.818181818</v>
      </c>
      <c r="CE83" s="203">
        <v>1.0</v>
      </c>
      <c r="CF83" s="203">
        <v>3.0</v>
      </c>
      <c r="CG83" s="203">
        <v>2.0</v>
      </c>
      <c r="CH83" s="203">
        <v>1.0</v>
      </c>
      <c r="CI83" s="203">
        <v>2.0</v>
      </c>
      <c r="CJ83" s="203">
        <v>3.0</v>
      </c>
      <c r="CK83" s="203">
        <v>2.0</v>
      </c>
      <c r="CL83" s="203">
        <v>3.0</v>
      </c>
      <c r="CM83" s="209">
        <v>1.0</v>
      </c>
      <c r="CN83" s="203">
        <v>1.0</v>
      </c>
      <c r="CO83" s="203">
        <v>1.0</v>
      </c>
    </row>
    <row r="84" ht="197.25" customHeight="1">
      <c r="A84" s="185" t="s">
        <v>757</v>
      </c>
      <c r="B84" s="226" t="s">
        <v>439</v>
      </c>
      <c r="C84" s="226" t="s">
        <v>472</v>
      </c>
      <c r="D84" s="226" t="s">
        <v>60</v>
      </c>
      <c r="E84" s="227" t="s">
        <v>916</v>
      </c>
      <c r="F84" s="228" t="str">
        <f t="shared" si="8"/>
        <v>RServExecSum - Custom</v>
      </c>
      <c r="G84" s="228" t="str">
        <f>'Ad-Hoc | Reporting &amp; Analytics'!F22</f>
        <v>Custom reporting for additional slides, addition cuts or nested cuts, custom stat testing needs, additional drivers, combining data from 3+ projects, non-traditional formats, etc.</v>
      </c>
      <c r="H84" s="229"/>
      <c r="I84" s="190" t="s">
        <v>918</v>
      </c>
      <c r="J84" s="191" t="str">
        <f>'Ad-Hoc | Reporting &amp; Analytics'!F23</f>
        <v>Custom Quote</v>
      </c>
      <c r="K84" s="191"/>
      <c r="L84" s="191"/>
      <c r="M84" s="191"/>
      <c r="N84" s="191"/>
      <c r="O84" s="198"/>
      <c r="P84" s="198"/>
      <c r="Q84" s="198"/>
      <c r="R84" s="195"/>
      <c r="S84" s="200"/>
      <c r="T84" s="195" t="s">
        <v>765</v>
      </c>
      <c r="U84" s="195" t="s">
        <v>765</v>
      </c>
      <c r="V84" s="195" t="s">
        <v>765</v>
      </c>
      <c r="W84" s="201"/>
      <c r="X84" s="195"/>
      <c r="Y84" s="195"/>
      <c r="Z84" s="195"/>
      <c r="AA84" s="195"/>
      <c r="AB84" s="202"/>
      <c r="AC84" s="203">
        <v>0.0</v>
      </c>
      <c r="AD84" s="203">
        <v>3.0</v>
      </c>
      <c r="AE84" s="195" t="s">
        <v>472</v>
      </c>
      <c r="AF84" s="195"/>
      <c r="AG84" s="195"/>
      <c r="AH84" s="204"/>
      <c r="AI84" s="204"/>
      <c r="AJ84" s="204"/>
      <c r="AK84" s="204"/>
      <c r="AL84" s="204"/>
      <c r="AM84" s="205"/>
      <c r="AN84" s="205">
        <f>(AH84*'Staff Rates (Internal)'!B$2)+(AI84*'Staff Rates (Internal)'!B$3)+(AJ84*'Staff Rates (Internal)'!B$4)+(AK84*'Staff Rates (Internal)'!B$5)+(AL84*'Staff Rates (Internal)'!B$6)+(AM84*'Staff Rates (Internal)'!B$7)</f>
        <v>0</v>
      </c>
      <c r="AO84" s="206">
        <f>(AH84*'Staff Rates (External)'!B$2)+(AI84*'Staff Rates (External)'!B$3)+(AJ84*'Staff Rates (External)'!B$4)+(AK84*'Staff Rates (External)'!B$5)+(AL84*'Staff Rates (External)'!B$6)+(AM84*'Staff Rates (External)'!B$7)</f>
        <v>0</v>
      </c>
      <c r="AR84" s="195"/>
      <c r="AS84" s="195"/>
      <c r="AX84" s="204"/>
      <c r="AY84" s="204"/>
      <c r="AZ84" s="204"/>
      <c r="BA84" s="204"/>
      <c r="BB84" s="204"/>
      <c r="BC84" s="204"/>
      <c r="BD84" s="204"/>
      <c r="BE84" s="204"/>
      <c r="BF84" s="204"/>
      <c r="BG84" s="204"/>
      <c r="BH84" s="204"/>
      <c r="BI84" s="204"/>
      <c r="BJ84" s="204"/>
      <c r="BK84" s="204"/>
      <c r="BL84" s="204"/>
      <c r="BM84" s="204"/>
      <c r="BN84" s="204"/>
      <c r="BO84" s="204"/>
      <c r="BP84" s="204"/>
      <c r="BQ84" s="204"/>
      <c r="BR84" s="204"/>
      <c r="BS84" s="204"/>
      <c r="BT84" s="204"/>
      <c r="BU84" s="204"/>
      <c r="BV84" s="204"/>
      <c r="BW84" s="204"/>
      <c r="BX84" s="204"/>
      <c r="BY84" s="204"/>
      <c r="BZ84" s="204"/>
      <c r="CA84" s="204"/>
      <c r="CB84" s="207"/>
      <c r="CC84" s="208" t="str">
        <f t="shared" si="2"/>
        <v>Executive Summary</v>
      </c>
      <c r="CD84" s="208">
        <f t="shared" si="3"/>
        <v>1.636363636</v>
      </c>
      <c r="CE84" s="203">
        <v>1.0</v>
      </c>
      <c r="CF84" s="203">
        <v>1.0</v>
      </c>
      <c r="CG84" s="203">
        <v>2.0</v>
      </c>
      <c r="CH84" s="203">
        <v>1.0</v>
      </c>
      <c r="CI84" s="203">
        <v>2.0</v>
      </c>
      <c r="CJ84" s="203">
        <v>3.0</v>
      </c>
      <c r="CK84" s="203">
        <v>2.0</v>
      </c>
      <c r="CL84" s="203">
        <v>3.0</v>
      </c>
      <c r="CM84" s="209">
        <v>1.0</v>
      </c>
      <c r="CN84" s="203">
        <v>1.0</v>
      </c>
      <c r="CO84" s="203">
        <v>1.0</v>
      </c>
    </row>
    <row r="85" ht="197.25" customHeight="1">
      <c r="A85" s="185" t="s">
        <v>757</v>
      </c>
      <c r="B85" s="185" t="s">
        <v>439</v>
      </c>
      <c r="C85" s="185" t="s">
        <v>81</v>
      </c>
      <c r="D85" s="185" t="s">
        <v>56</v>
      </c>
      <c r="E85" s="195" t="s">
        <v>921</v>
      </c>
      <c r="F85" s="196" t="str">
        <f t="shared" si="8"/>
        <v>RSDashboards - Standard</v>
      </c>
      <c r="G85" s="196" t="str">
        <f>'Ad-Hoc | Reporting &amp; Analytics'!$C26</f>
        <v>Includes programming for:
1 dashboard in English
1 data source (e.g., surveys)
Up to 30 fields
1 widget per field
Up to 10 filters
Up to 10 custom metrics
(CX only) Up to 3 user roles
Does NOT include: 
Advanced widget types (Key Drivers, Pivot Table, etc.)
Weighting
Open end coding
Data import of past data (for trending)
Data stacking
Assumptions:
Dashboard fields are defined as single select survey questions, response options for multi-select, rows for matrix questions, or embedded data.
Creation of users and assigning user roles is the responsibility of the client.
Only existing platform functionality will be used. Requests that are outside of platform functionality or require custom coding may require additional scoping and cost.
Prior to programming, a dashboard plan will be created and confirmed with the customer. After the Qualtrics dashboard is built and shared for User Acceptance Testing (UAT), the customer may request up to a total of 2 hours of additional programming changes (alterations to the agreed plan). Changes after this point will require additional scoping and fees. All corrections (programmer errors) will be addressed and do not count toward these programming hours.
This is a cost for the initial programming only and does not include ongoing maintenance or changes to the dashboard.
Qualtrics provides survey build in addition to dashboard. Additional costs may be added if client provides survey build.
Estimated Timing: 1-2 weeks</v>
      </c>
      <c r="H85" s="197" t="s">
        <v>922</v>
      </c>
      <c r="I85" s="190" t="s">
        <v>923</v>
      </c>
      <c r="J85" s="191">
        <f>'Ad-Hoc | Reporting &amp; Analytics'!$C27</f>
        <v>6500</v>
      </c>
      <c r="K85" s="198"/>
      <c r="L85" s="198"/>
      <c r="M85" s="198"/>
      <c r="N85" s="198"/>
      <c r="O85" s="230" t="s">
        <v>924</v>
      </c>
      <c r="P85" s="199" t="s">
        <v>762</v>
      </c>
      <c r="Q85" s="199" t="s">
        <v>925</v>
      </c>
      <c r="R85" s="195" t="s">
        <v>764</v>
      </c>
      <c r="S85" s="200"/>
      <c r="T85" s="195" t="s">
        <v>765</v>
      </c>
      <c r="U85" s="195" t="s">
        <v>765</v>
      </c>
      <c r="V85" s="195" t="s">
        <v>765</v>
      </c>
      <c r="W85" s="201"/>
      <c r="X85" s="195"/>
      <c r="Y85" s="195"/>
      <c r="Z85" s="195"/>
      <c r="AA85" s="195">
        <f t="shared" ref="AA85:AA88" si="10">ROUNDUP(AN85,-1)</f>
        <v>1490</v>
      </c>
      <c r="AB85" s="202">
        <v>0.76</v>
      </c>
      <c r="AC85" s="203">
        <v>0.0</v>
      </c>
      <c r="AD85" s="203">
        <v>3.0</v>
      </c>
      <c r="AE85" s="195" t="s">
        <v>926</v>
      </c>
      <c r="AF85" s="195" t="s">
        <v>767</v>
      </c>
      <c r="AG85" s="195" t="s">
        <v>776</v>
      </c>
      <c r="AH85" s="204"/>
      <c r="AI85" s="204">
        <v>1.0</v>
      </c>
      <c r="AJ85" s="204">
        <v>8.0</v>
      </c>
      <c r="AK85" s="204">
        <v>16.0</v>
      </c>
      <c r="AL85" s="204"/>
      <c r="AM85" s="205"/>
      <c r="AN85" s="205">
        <f>(AH85*'Staff Rates (Internal)'!B$2)+(AI85*'Staff Rates (Internal)'!B$3)+(AJ85*'Staff Rates (Internal)'!B$4)+(AK85*'Staff Rates (Internal)'!B$5)+(AL85*'Staff Rates (Internal)'!B$6)+(AM85*'Staff Rates (Internal)'!B$7)</f>
        <v>1483.5</v>
      </c>
      <c r="AO85" s="206">
        <f>(AH85*'Staff Rates (External)'!B$2)+(AI85*'Staff Rates (External)'!B$3)+(AJ85*'Staff Rates (External)'!B$4)+(AK85*'Staff Rates (External)'!B$5)+(AL85*'Staff Rates (External)'!B$6)+(AM85*'Staff Rates (External)'!B$7)</f>
        <v>6250</v>
      </c>
      <c r="AR85" s="195" t="s">
        <v>788</v>
      </c>
      <c r="AS85" s="195" t="s">
        <v>927</v>
      </c>
      <c r="AX85" s="204" t="s">
        <v>783</v>
      </c>
      <c r="AY85" s="204" t="s">
        <v>783</v>
      </c>
      <c r="AZ85" s="204" t="s">
        <v>783</v>
      </c>
      <c r="BA85" s="204"/>
      <c r="BB85" s="204" t="s">
        <v>783</v>
      </c>
      <c r="BC85" s="204" t="s">
        <v>783</v>
      </c>
      <c r="BD85" s="204" t="s">
        <v>783</v>
      </c>
      <c r="BE85" s="204"/>
      <c r="BF85" s="204" t="s">
        <v>783</v>
      </c>
      <c r="BG85" s="204" t="s">
        <v>783</v>
      </c>
      <c r="BH85" s="204" t="s">
        <v>783</v>
      </c>
      <c r="BI85" s="204"/>
      <c r="BJ85" s="204" t="s">
        <v>783</v>
      </c>
      <c r="BK85" s="204" t="s">
        <v>783</v>
      </c>
      <c r="BL85" s="204"/>
      <c r="BM85" s="204"/>
      <c r="BN85" s="204"/>
      <c r="BO85" s="204"/>
      <c r="BP85" s="204"/>
      <c r="BQ85" s="204"/>
      <c r="BR85" s="204"/>
      <c r="BS85" s="204"/>
      <c r="BT85" s="204"/>
      <c r="BU85" s="204"/>
      <c r="BV85" s="204"/>
      <c r="BW85" s="204"/>
      <c r="BX85" s="204"/>
      <c r="BY85" s="204"/>
      <c r="BZ85" s="204"/>
      <c r="CA85" s="204"/>
      <c r="CB85" s="207"/>
      <c r="CC85" s="208" t="str">
        <f t="shared" si="2"/>
        <v>Dashboards</v>
      </c>
      <c r="CD85" s="208">
        <f t="shared" si="3"/>
        <v>2.181818182</v>
      </c>
      <c r="CE85" s="203">
        <v>3.0</v>
      </c>
      <c r="CF85" s="203">
        <v>3.0</v>
      </c>
      <c r="CG85" s="203">
        <v>2.0</v>
      </c>
      <c r="CH85" s="203">
        <v>3.0</v>
      </c>
      <c r="CI85" s="203">
        <v>2.0</v>
      </c>
      <c r="CJ85" s="203">
        <v>3.0</v>
      </c>
      <c r="CK85" s="203">
        <v>2.0</v>
      </c>
      <c r="CL85" s="203">
        <v>3.0</v>
      </c>
      <c r="CM85" s="209">
        <v>1.0</v>
      </c>
      <c r="CN85" s="203">
        <v>1.0</v>
      </c>
      <c r="CO85" s="203">
        <v>1.0</v>
      </c>
    </row>
    <row r="86" ht="197.25" customHeight="1">
      <c r="A86" s="185" t="s">
        <v>757</v>
      </c>
      <c r="B86" s="185" t="s">
        <v>439</v>
      </c>
      <c r="C86" s="185" t="s">
        <v>81</v>
      </c>
      <c r="D86" s="185" t="s">
        <v>58</v>
      </c>
      <c r="E86" s="195" t="s">
        <v>921</v>
      </c>
      <c r="F86" s="196" t="str">
        <f t="shared" si="8"/>
        <v>RSDashboards - Standard Plus</v>
      </c>
      <c r="G86" s="196" t="str">
        <f>'Ad-Hoc | Reporting &amp; Analytics'!$D26</f>
        <v>Includes programming for:
1 dashboard in English
Up to 2 data sources (e.g., surveys)
Up to 60 fields
Up to 2 widgets per field
Up to 20 filters
Up to 20 custom metrics
(CX only) Up to 3 user roles
Does NOT include: 
Advanced widget types (Key Drivers, Pivot Table, etc.)
Weighting
Open end coding
Data import of past data (for trending)
Data stacking
Assumptions:
Dashboard fields are defined as single select survey questions, response options for multi-select, rows for matrix questions, or embedded data.
Creation of users and assigning user roles is the responsibility of the client.
Only existing platform functionality will be used. Requests that are outside of platform functionality or require custom coding may require additional scoping and cost.
Prior to programming, a dashboard plan will be created and confirmed with the customer. After the Qualtrics dashboard is built and shared for User Acceptance Testing (UAT), the customer may request up to a total of 3 hours of additional programming changes (alterations to the agreed plan). Changes after this point will require additional scoping and fees. All corrections (programmer errors) will be addressed and do not count toward these programming hours.
This is a cost for the initial programming only and does not include ongoing maintenance or changes to the dashboard.
Qualtrics provides survey build in addition to dashboard. Additional costs may be added if client provides survey build.
Estimated Timing: 2-3 weeks</v>
      </c>
      <c r="H86" s="197" t="s">
        <v>928</v>
      </c>
      <c r="I86" s="190" t="s">
        <v>923</v>
      </c>
      <c r="J86" s="191">
        <f>'Ad-Hoc | Reporting &amp; Analytics'!$D27</f>
        <v>12500</v>
      </c>
      <c r="K86" s="198"/>
      <c r="L86" s="198"/>
      <c r="M86" s="198"/>
      <c r="N86" s="198"/>
      <c r="O86" s="199" t="s">
        <v>924</v>
      </c>
      <c r="P86" s="199" t="s">
        <v>762</v>
      </c>
      <c r="Q86" s="199" t="s">
        <v>925</v>
      </c>
      <c r="R86" s="195" t="s">
        <v>764</v>
      </c>
      <c r="S86" s="200"/>
      <c r="T86" s="195" t="s">
        <v>765</v>
      </c>
      <c r="U86" s="195" t="s">
        <v>765</v>
      </c>
      <c r="V86" s="195" t="s">
        <v>765</v>
      </c>
      <c r="W86" s="201"/>
      <c r="X86" s="195"/>
      <c r="Y86" s="195"/>
      <c r="Z86" s="195"/>
      <c r="AA86" s="195">
        <f t="shared" si="10"/>
        <v>2570</v>
      </c>
      <c r="AB86" s="202">
        <v>0.76</v>
      </c>
      <c r="AC86" s="203">
        <v>0.0</v>
      </c>
      <c r="AD86" s="203">
        <v>3.0</v>
      </c>
      <c r="AE86" s="195" t="s">
        <v>926</v>
      </c>
      <c r="AF86" s="195" t="s">
        <v>767</v>
      </c>
      <c r="AG86" s="195" t="s">
        <v>776</v>
      </c>
      <c r="AH86" s="204"/>
      <c r="AI86" s="204">
        <v>1.0</v>
      </c>
      <c r="AJ86" s="204">
        <v>8.0</v>
      </c>
      <c r="AK86" s="204">
        <v>32.0</v>
      </c>
      <c r="AL86" s="204"/>
      <c r="AM86" s="205"/>
      <c r="AN86" s="205">
        <f>(AH86*'Staff Rates (Internal)'!B$2)+(AI86*'Staff Rates (Internal)'!B$3)+(AJ86*'Staff Rates (Internal)'!B$4)+(AK86*'Staff Rates (Internal)'!B$5)+(AL86*'Staff Rates (Internal)'!B$6)+(AM86*'Staff Rates (Internal)'!B$7)</f>
        <v>2563.5</v>
      </c>
      <c r="AO86" s="206">
        <f>(AH86*'Staff Rates (External)'!B$2)+(AI86*'Staff Rates (External)'!B$3)+(AJ86*'Staff Rates (External)'!B$4)+(AK86*'Staff Rates (External)'!B$5)+(AL86*'Staff Rates (External)'!B$6)+(AM86*'Staff Rates (External)'!B$7)</f>
        <v>10250</v>
      </c>
      <c r="AR86" s="195" t="s">
        <v>788</v>
      </c>
      <c r="AS86" s="195" t="s">
        <v>927</v>
      </c>
      <c r="AX86" s="204"/>
      <c r="AY86" s="204"/>
      <c r="AZ86" s="204"/>
      <c r="BA86" s="204"/>
      <c r="BB86" s="204"/>
      <c r="BC86" s="204"/>
      <c r="BD86" s="204"/>
      <c r="BE86" s="204"/>
      <c r="BF86" s="204"/>
      <c r="BG86" s="204"/>
      <c r="BH86" s="204"/>
      <c r="BI86" s="204"/>
      <c r="BJ86" s="204"/>
      <c r="BK86" s="204"/>
      <c r="BL86" s="204" t="s">
        <v>765</v>
      </c>
      <c r="BM86" s="204"/>
      <c r="BN86" s="204"/>
      <c r="BO86" s="204"/>
      <c r="BP86" s="204"/>
      <c r="BQ86" s="204"/>
      <c r="BR86" s="204"/>
      <c r="BS86" s="204"/>
      <c r="BT86" s="204"/>
      <c r="BU86" s="204"/>
      <c r="BV86" s="204"/>
      <c r="BW86" s="204"/>
      <c r="BX86" s="204"/>
      <c r="BY86" s="204"/>
      <c r="BZ86" s="204"/>
      <c r="CA86" s="204"/>
      <c r="CB86" s="207"/>
      <c r="CC86" s="208" t="str">
        <f t="shared" si="2"/>
        <v>Dashboards</v>
      </c>
      <c r="CD86" s="208">
        <f t="shared" si="3"/>
        <v>2.181818182</v>
      </c>
      <c r="CE86" s="203">
        <v>3.0</v>
      </c>
      <c r="CF86" s="203">
        <v>3.0</v>
      </c>
      <c r="CG86" s="203">
        <v>2.0</v>
      </c>
      <c r="CH86" s="203">
        <v>3.0</v>
      </c>
      <c r="CI86" s="203">
        <v>2.0</v>
      </c>
      <c r="CJ86" s="203">
        <v>3.0</v>
      </c>
      <c r="CK86" s="203">
        <v>2.0</v>
      </c>
      <c r="CL86" s="203">
        <v>3.0</v>
      </c>
      <c r="CM86" s="209">
        <v>1.0</v>
      </c>
      <c r="CN86" s="203">
        <v>1.0</v>
      </c>
      <c r="CO86" s="203">
        <v>1.0</v>
      </c>
    </row>
    <row r="87" ht="197.25" customHeight="1">
      <c r="A87" s="185" t="s">
        <v>757</v>
      </c>
      <c r="B87" s="185" t="s">
        <v>439</v>
      </c>
      <c r="C87" s="185" t="s">
        <v>81</v>
      </c>
      <c r="D87" s="185" t="s">
        <v>59</v>
      </c>
      <c r="E87" s="195" t="s">
        <v>921</v>
      </c>
      <c r="F87" s="196" t="str">
        <f t="shared" si="8"/>
        <v>RSDashboards - Advanced</v>
      </c>
      <c r="G87" s="196" t="str">
        <f>'Ad-Hoc | Reporting &amp; Analytics'!$E26</f>
        <v>Includes programming for:
1 dashboard in English
Up to 2 data sources (e.g., surveys)
Up to 100 fields
Up to 2 widgets per field
Up to 20 filters
Up to 30 custom metrics
Advanced widget types (Key Drivers, Pivot Table, etc.)
(CX only) Up to 3 user roles
Does NOT include: 
Weighting
Open end coding
Data import of past data (for trending)
Data stacking
Assumptions:
Dashboard fields are defined as single select survey questions, response options for multi-select, rows for matrix questions, or embedded data.
Creation of users and assigning user roles is the responsibility of the client.
Only existing platform functionality will be used. Requests that are outside of platform functionality or require custom coding may require additional scoping and cost.
Prior to programming, a dashboard plan will be created and confirmed with the customer. After the Qualtrics dashboard is built and shared for User Acceptance Testing (UAT), the customer may request up to a total of 4 hours of additional programming changes (alterations to the agreed plan). Changes after this point will require additional scoping and fees. All corrections (programmer errors) will be addressed and do not count toward these programming hours.
This is a cost for the initial programming only and does not include ongoing maintenance or changes to the dashboard.
Qualtrics provides survey build in addition to dashboard. Additional costs may be added if client provides survey build.
Estimated Timing: 3-4 weeks</v>
      </c>
      <c r="H87" s="197" t="s">
        <v>929</v>
      </c>
      <c r="I87" s="190" t="s">
        <v>923</v>
      </c>
      <c r="J87" s="191">
        <f>'Ad-Hoc | Reporting &amp; Analytics'!$E27</f>
        <v>20000</v>
      </c>
      <c r="K87" s="198"/>
      <c r="L87" s="198"/>
      <c r="M87" s="198"/>
      <c r="N87" s="198"/>
      <c r="O87" s="199" t="s">
        <v>924</v>
      </c>
      <c r="P87" s="199" t="s">
        <v>762</v>
      </c>
      <c r="Q87" s="199" t="s">
        <v>925</v>
      </c>
      <c r="R87" s="195" t="s">
        <v>764</v>
      </c>
      <c r="S87" s="200"/>
      <c r="T87" s="195" t="s">
        <v>765</v>
      </c>
      <c r="U87" s="195" t="s">
        <v>765</v>
      </c>
      <c r="V87" s="195" t="s">
        <v>765</v>
      </c>
      <c r="W87" s="201"/>
      <c r="X87" s="195"/>
      <c r="Y87" s="195"/>
      <c r="Z87" s="195"/>
      <c r="AA87" s="195">
        <f t="shared" si="10"/>
        <v>5130</v>
      </c>
      <c r="AB87" s="202">
        <v>0.76</v>
      </c>
      <c r="AC87" s="203">
        <v>0.0</v>
      </c>
      <c r="AD87" s="203">
        <v>3.0</v>
      </c>
      <c r="AE87" s="195" t="s">
        <v>926</v>
      </c>
      <c r="AF87" s="195" t="s">
        <v>767</v>
      </c>
      <c r="AG87" s="195" t="s">
        <v>776</v>
      </c>
      <c r="AH87" s="204"/>
      <c r="AI87" s="204">
        <v>2.0</v>
      </c>
      <c r="AJ87" s="204">
        <v>16.0</v>
      </c>
      <c r="AK87" s="204">
        <v>64.0</v>
      </c>
      <c r="AL87" s="204"/>
      <c r="AM87" s="205"/>
      <c r="AN87" s="205">
        <f>(AH87*'Staff Rates (Internal)'!B$2)+(AI87*'Staff Rates (Internal)'!B$3)+(AJ87*'Staff Rates (Internal)'!B$4)+(AK87*'Staff Rates (Internal)'!B$5)+(AL87*'Staff Rates (Internal)'!B$6)+(AM87*'Staff Rates (Internal)'!B$7)</f>
        <v>5127</v>
      </c>
      <c r="AO87" s="206">
        <f>(AH87*'Staff Rates (External)'!B$2)+(AI87*'Staff Rates (External)'!B$3)+(AJ87*'Staff Rates (External)'!B$4)+(AK87*'Staff Rates (External)'!B$5)+(AL87*'Staff Rates (External)'!B$6)+(AM87*'Staff Rates (External)'!B$7)</f>
        <v>20500</v>
      </c>
      <c r="AR87" s="195" t="s">
        <v>788</v>
      </c>
      <c r="AS87" s="195" t="s">
        <v>927</v>
      </c>
      <c r="AX87" s="204"/>
      <c r="AY87" s="204"/>
      <c r="AZ87" s="204"/>
      <c r="BA87" s="204"/>
      <c r="BB87" s="204"/>
      <c r="BC87" s="204"/>
      <c r="BD87" s="204"/>
      <c r="BE87" s="204"/>
      <c r="BF87" s="204"/>
      <c r="BG87" s="204"/>
      <c r="BH87" s="204"/>
      <c r="BI87" s="204"/>
      <c r="BJ87" s="204"/>
      <c r="BK87" s="204"/>
      <c r="BL87" s="204"/>
      <c r="BM87" s="204"/>
      <c r="BN87" s="204"/>
      <c r="BO87" s="204"/>
      <c r="BP87" s="204"/>
      <c r="BQ87" s="204"/>
      <c r="BR87" s="204"/>
      <c r="BS87" s="204"/>
      <c r="BT87" s="204"/>
      <c r="BU87" s="204"/>
      <c r="BV87" s="204"/>
      <c r="BW87" s="204"/>
      <c r="BX87" s="204"/>
      <c r="BY87" s="204"/>
      <c r="BZ87" s="204"/>
      <c r="CA87" s="204"/>
      <c r="CB87" s="207"/>
      <c r="CC87" s="208" t="str">
        <f t="shared" si="2"/>
        <v>Dashboards</v>
      </c>
      <c r="CD87" s="208">
        <f t="shared" si="3"/>
        <v>2.181818182</v>
      </c>
      <c r="CE87" s="203">
        <v>3.0</v>
      </c>
      <c r="CF87" s="203">
        <v>3.0</v>
      </c>
      <c r="CG87" s="203">
        <v>2.0</v>
      </c>
      <c r="CH87" s="203">
        <v>3.0</v>
      </c>
      <c r="CI87" s="203">
        <v>2.0</v>
      </c>
      <c r="CJ87" s="203">
        <v>3.0</v>
      </c>
      <c r="CK87" s="203">
        <v>2.0</v>
      </c>
      <c r="CL87" s="203">
        <v>3.0</v>
      </c>
      <c r="CM87" s="209">
        <v>1.0</v>
      </c>
      <c r="CN87" s="203">
        <v>1.0</v>
      </c>
      <c r="CO87" s="203">
        <v>1.0</v>
      </c>
    </row>
    <row r="88" ht="197.25" customHeight="1">
      <c r="A88" s="185" t="s">
        <v>757</v>
      </c>
      <c r="B88" s="185" t="s">
        <v>439</v>
      </c>
      <c r="C88" s="185" t="s">
        <v>81</v>
      </c>
      <c r="D88" s="185" t="s">
        <v>60</v>
      </c>
      <c r="E88" s="195" t="s">
        <v>921</v>
      </c>
      <c r="F88" s="196" t="str">
        <f t="shared" si="8"/>
        <v>RSDashboards - Custom</v>
      </c>
      <c r="G88" s="196" t="str">
        <f>'Ad-Hoc | Reporting &amp; Analytics'!$F26</f>
        <v>Custom dashboard if additional fields, coded fields, data sources or filters required, multiple languages, custom ENG work.</v>
      </c>
      <c r="H88" s="197"/>
      <c r="I88" s="191"/>
      <c r="J88" s="191" t="str">
        <f>'Ad-Hoc | Reporting &amp; Analytics'!$F27</f>
        <v>Custom Quote</v>
      </c>
      <c r="K88" s="198"/>
      <c r="L88" s="198"/>
      <c r="M88" s="198"/>
      <c r="N88" s="198"/>
      <c r="O88" s="198"/>
      <c r="P88" s="198"/>
      <c r="Q88" s="198" t="s">
        <v>930</v>
      </c>
      <c r="R88" s="195" t="s">
        <v>764</v>
      </c>
      <c r="S88" s="200"/>
      <c r="T88" s="195" t="s">
        <v>765</v>
      </c>
      <c r="U88" s="195" t="s">
        <v>765</v>
      </c>
      <c r="V88" s="195" t="s">
        <v>765</v>
      </c>
      <c r="W88" s="201"/>
      <c r="X88" s="195"/>
      <c r="Y88" s="195"/>
      <c r="Z88" s="195"/>
      <c r="AA88" s="195">
        <f t="shared" si="10"/>
        <v>140</v>
      </c>
      <c r="AB88" s="202">
        <v>0.76</v>
      </c>
      <c r="AC88" s="203">
        <v>0.0</v>
      </c>
      <c r="AD88" s="203">
        <v>3.0</v>
      </c>
      <c r="AE88" s="195" t="s">
        <v>926</v>
      </c>
      <c r="AF88" s="195" t="s">
        <v>767</v>
      </c>
      <c r="AG88" s="195" t="s">
        <v>776</v>
      </c>
      <c r="AH88" s="204"/>
      <c r="AI88" s="204">
        <v>2.0</v>
      </c>
      <c r="AJ88" s="204"/>
      <c r="AK88" s="204"/>
      <c r="AL88" s="204"/>
      <c r="AM88" s="205"/>
      <c r="AN88" s="205">
        <f>(AH88*'Staff Rates (Internal)'!B$2)+(AI88*'Staff Rates (Internal)'!B$3)+(AJ88*'Staff Rates (Internal)'!B$4)+(AK88*'Staff Rates (Internal)'!B$5)+(AL88*'Staff Rates (Internal)'!B$6)+(AM88*'Staff Rates (Internal)'!B$7)</f>
        <v>135</v>
      </c>
      <c r="AO88" s="206">
        <f>(AH88*'Staff Rates (External)'!B$2)+(AI88*'Staff Rates (External)'!B$3)+(AJ88*'Staff Rates (External)'!B$4)+(AK88*'Staff Rates (External)'!B$5)+(AL88*'Staff Rates (External)'!B$6)+(AM88*'Staff Rates (External)'!B$7)</f>
        <v>500</v>
      </c>
      <c r="AR88" s="195" t="s">
        <v>788</v>
      </c>
      <c r="AS88" s="195" t="s">
        <v>927</v>
      </c>
      <c r="AX88" s="204"/>
      <c r="AY88" s="204"/>
      <c r="AZ88" s="204"/>
      <c r="BA88" s="204"/>
      <c r="BB88" s="204"/>
      <c r="BC88" s="204"/>
      <c r="BD88" s="204"/>
      <c r="BE88" s="204"/>
      <c r="BF88" s="204"/>
      <c r="BG88" s="204"/>
      <c r="BH88" s="204"/>
      <c r="BI88" s="204"/>
      <c r="BJ88" s="204"/>
      <c r="BK88" s="204"/>
      <c r="BL88" s="204"/>
      <c r="BM88" s="204"/>
      <c r="BN88" s="204"/>
      <c r="BO88" s="204"/>
      <c r="BP88" s="204"/>
      <c r="BQ88" s="204"/>
      <c r="BR88" s="204"/>
      <c r="BS88" s="204"/>
      <c r="BT88" s="204"/>
      <c r="BU88" s="204"/>
      <c r="BV88" s="204"/>
      <c r="BW88" s="204"/>
      <c r="BX88" s="204"/>
      <c r="BY88" s="204"/>
      <c r="BZ88" s="204"/>
      <c r="CA88" s="204"/>
      <c r="CB88" s="207"/>
      <c r="CC88" s="208" t="str">
        <f t="shared" si="2"/>
        <v>Dashboards</v>
      </c>
      <c r="CD88" s="208">
        <f t="shared" si="3"/>
        <v>1.818181818</v>
      </c>
      <c r="CE88" s="203">
        <v>1.0</v>
      </c>
      <c r="CF88" s="203">
        <v>1.0</v>
      </c>
      <c r="CG88" s="203">
        <v>2.0</v>
      </c>
      <c r="CH88" s="203">
        <v>3.0</v>
      </c>
      <c r="CI88" s="203">
        <v>2.0</v>
      </c>
      <c r="CJ88" s="203">
        <v>3.0</v>
      </c>
      <c r="CK88" s="203">
        <v>2.0</v>
      </c>
      <c r="CL88" s="203">
        <v>3.0</v>
      </c>
      <c r="CM88" s="209">
        <v>1.0</v>
      </c>
      <c r="CN88" s="203">
        <v>1.0</v>
      </c>
      <c r="CO88" s="203">
        <v>1.0</v>
      </c>
    </row>
    <row r="89" ht="123.0" customHeight="1">
      <c r="A89" s="185" t="s">
        <v>757</v>
      </c>
      <c r="B89" s="185" t="s">
        <v>439</v>
      </c>
      <c r="C89" s="185" t="s">
        <v>82</v>
      </c>
      <c r="D89" s="185" t="s">
        <v>56</v>
      </c>
      <c r="E89" s="195" t="s">
        <v>931</v>
      </c>
      <c r="F89" s="196" t="str">
        <f t="shared" si="8"/>
        <v>RServOpenEndCode - Standard</v>
      </c>
      <c r="G89" s="196" t="str">
        <f>'Ad-Hoc | Reporting &amp; Analytics'!$C30</f>
        <v>Qualtrics will provide open end coding services.
Such open end coding services will include:
Up to [X] responses
[Y] open end response fields (e.g., text boxes)
Responses must be:
- 1-2 words in length
- Common in Consumer Copy Test and Trackers (shorter, less difficult answers)
- In English
Assumptions:
Coding of open ends is conducted outside of the Qualtrics platform and provided to Customer in .csv format. 
Coding can be imported to the Qualtrics platform as embedded data by Customer. 
Customer may request Qualtrics to import coding for an additional fee.
-----------------------------------------------</v>
      </c>
      <c r="H89" s="197" t="s">
        <v>932</v>
      </c>
      <c r="I89" s="191"/>
      <c r="J89" s="191" t="str">
        <f>'Ad-Hoc | Reporting &amp; Analytics'!$C31</f>
        <v>$0.75 per response</v>
      </c>
      <c r="K89" s="198"/>
      <c r="L89" s="198"/>
      <c r="M89" s="198"/>
      <c r="N89" s="198"/>
      <c r="O89" s="199" t="s">
        <v>796</v>
      </c>
      <c r="P89" s="231" t="s">
        <v>908</v>
      </c>
      <c r="Q89" s="211" t="s">
        <v>763</v>
      </c>
      <c r="R89" s="195" t="s">
        <v>933</v>
      </c>
      <c r="S89" s="200"/>
      <c r="T89" s="195" t="s">
        <v>765</v>
      </c>
      <c r="U89" s="195" t="s">
        <v>765</v>
      </c>
      <c r="V89" s="195" t="s">
        <v>765</v>
      </c>
      <c r="W89" s="201"/>
      <c r="X89" s="195">
        <v>0.25</v>
      </c>
      <c r="Y89" s="195" t="s">
        <v>933</v>
      </c>
      <c r="Z89" s="195"/>
      <c r="AA89" s="202"/>
      <c r="AB89" s="202">
        <v>0.6</v>
      </c>
      <c r="AC89" s="203">
        <v>0.0</v>
      </c>
      <c r="AD89" s="203">
        <v>3.0</v>
      </c>
      <c r="AE89" s="195" t="s">
        <v>934</v>
      </c>
      <c r="AF89" s="195" t="s">
        <v>776</v>
      </c>
      <c r="AG89" s="195" t="s">
        <v>108</v>
      </c>
      <c r="AH89" s="204">
        <v>0.5</v>
      </c>
      <c r="AI89" s="204">
        <v>0.5</v>
      </c>
      <c r="AJ89" s="204"/>
      <c r="AK89" s="204"/>
      <c r="AL89" s="204"/>
      <c r="AM89" s="205"/>
      <c r="AN89" s="205">
        <f>(AH89*'Staff Rates (Internal)'!B$2)+(AI89*'Staff Rates (Internal)'!B$3)+(AJ89*'Staff Rates (Internal)'!B$4)+(AK89*'Staff Rates (Internal)'!B$5)+(AL89*'Staff Rates (Internal)'!B$6)+(AM89*'Staff Rates (Internal)'!B$7)</f>
        <v>54.75</v>
      </c>
      <c r="AO89" s="206">
        <f>(AH89*'Staff Rates (External)'!B$2)+(AI89*'Staff Rates (External)'!B$3)+(AJ89*'Staff Rates (External)'!B$4)+(AK89*'Staff Rates (External)'!B$5)+(AL89*'Staff Rates (External)'!B$6)+(AM89*'Staff Rates (External)'!B$7)</f>
        <v>250</v>
      </c>
      <c r="AR89" s="195" t="s">
        <v>935</v>
      </c>
      <c r="AS89" s="195" t="s">
        <v>887</v>
      </c>
      <c r="AX89" s="204"/>
      <c r="AY89" s="204"/>
      <c r="AZ89" s="204"/>
      <c r="BA89" s="204"/>
      <c r="BB89" s="204"/>
      <c r="BC89" s="204"/>
      <c r="BD89" s="204"/>
      <c r="BE89" s="204"/>
      <c r="BF89" s="204"/>
      <c r="BG89" s="204"/>
      <c r="BH89" s="204"/>
      <c r="BI89" s="204"/>
      <c r="BJ89" s="204"/>
      <c r="BK89" s="204"/>
      <c r="BL89" s="204"/>
      <c r="BM89" s="204"/>
      <c r="BN89" s="204"/>
      <c r="BO89" s="204"/>
      <c r="BP89" s="204"/>
      <c r="BQ89" s="204"/>
      <c r="BR89" s="204"/>
      <c r="BS89" s="204"/>
      <c r="BT89" s="204"/>
      <c r="BU89" s="204"/>
      <c r="BV89" s="204"/>
      <c r="BW89" s="204"/>
      <c r="BX89" s="204"/>
      <c r="BY89" s="204"/>
      <c r="BZ89" s="204"/>
      <c r="CA89" s="204"/>
      <c r="CB89" s="207"/>
      <c r="CC89" s="208" t="str">
        <f t="shared" si="2"/>
        <v>Open End Coding</v>
      </c>
      <c r="CD89" s="208">
        <f t="shared" si="3"/>
        <v>2.272727273</v>
      </c>
      <c r="CE89" s="203">
        <v>3.0</v>
      </c>
      <c r="CF89" s="203">
        <v>3.0</v>
      </c>
      <c r="CG89" s="203">
        <v>3.0</v>
      </c>
      <c r="CH89" s="203">
        <v>3.0</v>
      </c>
      <c r="CI89" s="203">
        <v>2.0</v>
      </c>
      <c r="CJ89" s="203">
        <v>2.0</v>
      </c>
      <c r="CK89" s="203">
        <v>3.0</v>
      </c>
      <c r="CL89" s="203">
        <v>3.0</v>
      </c>
      <c r="CM89" s="209">
        <v>1.0</v>
      </c>
      <c r="CN89" s="203">
        <v>1.0</v>
      </c>
      <c r="CO89" s="203">
        <v>1.0</v>
      </c>
    </row>
    <row r="90" ht="15.75" customHeight="1">
      <c r="A90" s="185" t="s">
        <v>757</v>
      </c>
      <c r="B90" s="185" t="s">
        <v>439</v>
      </c>
      <c r="C90" s="185" t="s">
        <v>82</v>
      </c>
      <c r="D90" s="185" t="s">
        <v>58</v>
      </c>
      <c r="E90" s="195" t="s">
        <v>931</v>
      </c>
      <c r="F90" s="196" t="str">
        <f t="shared" si="8"/>
        <v>RServOpenEndCode - Standard Plus</v>
      </c>
      <c r="G90" s="196" t="str">
        <f>'Ad-Hoc | Reporting &amp; Analytics'!$D30</f>
        <v>Qualtrics will provide open end coding services.
Such open end coding services will include:
Up to [X] responses
[Y] open end response fields (e.g., text boxes)
Responses must be:
- 1-2 sentences in length
- Common in Customer Satisfaction and Employee Engagement (longer answers)
- In English
Assumptions:
Coding of open ends is conducted outside of the Qualtrics platform and provided to Customer in .csv format. 
Coding can be imported to the Qualtrics platform as embedded data by Customer. 
Customer may request Qualtrics to import coding for an additional fee.
-----------------------------------------------
</v>
      </c>
      <c r="H90" s="197" t="s">
        <v>936</v>
      </c>
      <c r="I90" s="191"/>
      <c r="J90" s="191" t="str">
        <f>'Ad-Hoc | Reporting &amp; Analytics'!$D31</f>
        <v>$1.00 per response</v>
      </c>
      <c r="K90" s="198"/>
      <c r="L90" s="198"/>
      <c r="M90" s="198"/>
      <c r="N90" s="198"/>
      <c r="O90" s="199" t="s">
        <v>796</v>
      </c>
      <c r="P90" s="231" t="s">
        <v>908</v>
      </c>
      <c r="Q90" s="211" t="s">
        <v>763</v>
      </c>
      <c r="R90" s="195" t="s">
        <v>933</v>
      </c>
      <c r="S90" s="200"/>
      <c r="T90" s="195" t="s">
        <v>765</v>
      </c>
      <c r="U90" s="195" t="s">
        <v>765</v>
      </c>
      <c r="V90" s="195" t="s">
        <v>765</v>
      </c>
      <c r="W90" s="201"/>
      <c r="X90" s="195">
        <v>0.27</v>
      </c>
      <c r="Y90" s="195" t="s">
        <v>933</v>
      </c>
      <c r="Z90" s="195"/>
      <c r="AA90" s="202"/>
      <c r="AB90" s="202">
        <v>0.6</v>
      </c>
      <c r="AC90" s="203">
        <v>0.0</v>
      </c>
      <c r="AD90" s="203">
        <v>3.0</v>
      </c>
      <c r="AE90" s="195" t="s">
        <v>934</v>
      </c>
      <c r="AF90" s="195" t="s">
        <v>776</v>
      </c>
      <c r="AG90" s="195" t="s">
        <v>108</v>
      </c>
      <c r="AH90" s="204">
        <v>1.0</v>
      </c>
      <c r="AI90" s="204">
        <v>1.0</v>
      </c>
      <c r="AJ90" s="204"/>
      <c r="AK90" s="204"/>
      <c r="AL90" s="204"/>
      <c r="AM90" s="205"/>
      <c r="AN90" s="205">
        <f>(AH90*'Staff Rates (Internal)'!B$2)+(AI90*'Staff Rates (Internal)'!B$3)+(AJ90*'Staff Rates (Internal)'!B$4)+(AK90*'Staff Rates (Internal)'!B$5)+(AL90*'Staff Rates (Internal)'!B$6)+(AM90*'Staff Rates (Internal)'!B$7)</f>
        <v>109.5</v>
      </c>
      <c r="AO90" s="206">
        <f>(AH90*'Staff Rates (External)'!B$2)+(AI90*'Staff Rates (External)'!B$3)+(AJ90*'Staff Rates (External)'!B$4)+(AK90*'Staff Rates (External)'!B$5)+(AL90*'Staff Rates (External)'!B$6)+(AM90*'Staff Rates (External)'!B$7)</f>
        <v>500</v>
      </c>
      <c r="AR90" s="195" t="s">
        <v>935</v>
      </c>
      <c r="AS90" s="195" t="s">
        <v>887</v>
      </c>
      <c r="AX90" s="204" t="s">
        <v>765</v>
      </c>
      <c r="AY90" s="204" t="s">
        <v>765</v>
      </c>
      <c r="AZ90" s="204" t="s">
        <v>765</v>
      </c>
      <c r="BA90" s="204" t="s">
        <v>765</v>
      </c>
      <c r="BB90" s="204" t="s">
        <v>765</v>
      </c>
      <c r="BC90" s="204" t="s">
        <v>765</v>
      </c>
      <c r="BD90" s="204" t="s">
        <v>765</v>
      </c>
      <c r="BE90" s="204"/>
      <c r="BF90" s="204" t="s">
        <v>765</v>
      </c>
      <c r="BG90" s="204" t="s">
        <v>765</v>
      </c>
      <c r="BH90" s="204" t="s">
        <v>765</v>
      </c>
      <c r="BI90" s="204"/>
      <c r="BJ90" s="204" t="s">
        <v>765</v>
      </c>
      <c r="BK90" s="204" t="s">
        <v>765</v>
      </c>
      <c r="BL90" s="204" t="s">
        <v>765</v>
      </c>
      <c r="BM90" s="204"/>
      <c r="BN90" s="204"/>
      <c r="BO90" s="204"/>
      <c r="BP90" s="204"/>
      <c r="BQ90" s="204"/>
      <c r="BR90" s="204"/>
      <c r="BS90" s="204"/>
      <c r="BT90" s="204"/>
      <c r="BU90" s="204"/>
      <c r="BV90" s="204"/>
      <c r="BW90" s="204"/>
      <c r="BX90" s="204"/>
      <c r="BY90" s="204"/>
      <c r="BZ90" s="204"/>
      <c r="CA90" s="204"/>
      <c r="CB90" s="207"/>
      <c r="CC90" s="208" t="str">
        <f t="shared" si="2"/>
        <v>Open End Coding</v>
      </c>
      <c r="CD90" s="208">
        <f t="shared" si="3"/>
        <v>2.272727273</v>
      </c>
      <c r="CE90" s="203">
        <v>3.0</v>
      </c>
      <c r="CF90" s="203">
        <v>3.0</v>
      </c>
      <c r="CG90" s="203">
        <v>3.0</v>
      </c>
      <c r="CH90" s="203">
        <v>3.0</v>
      </c>
      <c r="CI90" s="203">
        <v>2.0</v>
      </c>
      <c r="CJ90" s="203">
        <v>2.0</v>
      </c>
      <c r="CK90" s="203">
        <v>3.0</v>
      </c>
      <c r="CL90" s="203">
        <v>3.0</v>
      </c>
      <c r="CM90" s="209">
        <v>1.0</v>
      </c>
      <c r="CN90" s="203">
        <v>1.0</v>
      </c>
      <c r="CO90" s="203">
        <v>1.0</v>
      </c>
    </row>
    <row r="91" ht="15.75" customHeight="1">
      <c r="A91" s="185" t="s">
        <v>757</v>
      </c>
      <c r="B91" s="185" t="s">
        <v>439</v>
      </c>
      <c r="C91" s="185" t="s">
        <v>82</v>
      </c>
      <c r="D91" s="185" t="s">
        <v>59</v>
      </c>
      <c r="E91" s="195" t="s">
        <v>931</v>
      </c>
      <c r="F91" s="196" t="str">
        <f t="shared" si="8"/>
        <v>RServOpenEndCode - Advanced</v>
      </c>
      <c r="G91" s="196" t="str">
        <f>'Ad-Hoc | Reporting &amp; Analytics'!$E30</f>
        <v>Qualtrics will provide open end coding services.
Such open end coding services will include:
Up to [X] responses
[Y] open end response fields (e.g., text boxes)
Responses must be:
- 1-2 sentences in length
- Medical or other very technical responses
- In English or in-language (non-English) coding
Assumptions:
Coding of open ends is conducted outside of the Qualtrics platform and provided to Customer in .csv format. 
Coding can be imported to the Qualtrics platform as embedded data by Customer. 
Customer may request Qualtrics to import coding for an additional fee.
-----------------------------------------------</v>
      </c>
      <c r="H91" s="197" t="s">
        <v>937</v>
      </c>
      <c r="I91" s="191"/>
      <c r="J91" s="191" t="str">
        <f>'Ad-Hoc | Reporting &amp; Analytics'!$E31</f>
        <v>$1.25 per response</v>
      </c>
      <c r="K91" s="198"/>
      <c r="L91" s="198"/>
      <c r="M91" s="198"/>
      <c r="N91" s="198"/>
      <c r="O91" s="199" t="s">
        <v>796</v>
      </c>
      <c r="P91" s="231" t="s">
        <v>908</v>
      </c>
      <c r="Q91" s="211" t="s">
        <v>763</v>
      </c>
      <c r="R91" s="195" t="s">
        <v>933</v>
      </c>
      <c r="S91" s="200"/>
      <c r="T91" s="195" t="s">
        <v>765</v>
      </c>
      <c r="U91" s="195" t="s">
        <v>765</v>
      </c>
      <c r="V91" s="195" t="s">
        <v>765</v>
      </c>
      <c r="W91" s="201"/>
      <c r="X91" s="195">
        <v>0.42</v>
      </c>
      <c r="Y91" s="195" t="s">
        <v>933</v>
      </c>
      <c r="Z91" s="195"/>
      <c r="AA91" s="202"/>
      <c r="AB91" s="202">
        <v>0.6</v>
      </c>
      <c r="AC91" s="203">
        <v>0.0</v>
      </c>
      <c r="AD91" s="203">
        <v>3.0</v>
      </c>
      <c r="AE91" s="195" t="s">
        <v>934</v>
      </c>
      <c r="AF91" s="195" t="s">
        <v>776</v>
      </c>
      <c r="AG91" s="195" t="s">
        <v>108</v>
      </c>
      <c r="AH91" s="204">
        <v>1.0</v>
      </c>
      <c r="AI91" s="204">
        <v>1.0</v>
      </c>
      <c r="AJ91" s="204"/>
      <c r="AK91" s="204"/>
      <c r="AL91" s="204"/>
      <c r="AM91" s="205"/>
      <c r="AN91" s="205">
        <f>(AH91*'Staff Rates (Internal)'!B$2)+(AI91*'Staff Rates (Internal)'!B$3)+(AJ91*'Staff Rates (Internal)'!B$4)+(AK91*'Staff Rates (Internal)'!B$5)+(AL91*'Staff Rates (Internal)'!B$6)+(AM91*'Staff Rates (Internal)'!B$7)</f>
        <v>109.5</v>
      </c>
      <c r="AO91" s="206">
        <f>(AH91*'Staff Rates (External)'!B$2)+(AI91*'Staff Rates (External)'!B$3)+(AJ91*'Staff Rates (External)'!B$4)+(AK91*'Staff Rates (External)'!B$5)+(AL91*'Staff Rates (External)'!B$6)+(AM91*'Staff Rates (External)'!B$7)</f>
        <v>500</v>
      </c>
      <c r="AR91" s="195" t="s">
        <v>935</v>
      </c>
      <c r="AS91" s="195" t="s">
        <v>887</v>
      </c>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7"/>
      <c r="CC91" s="208" t="str">
        <f t="shared" si="2"/>
        <v>Open End Coding</v>
      </c>
      <c r="CD91" s="208">
        <f t="shared" si="3"/>
        <v>2.272727273</v>
      </c>
      <c r="CE91" s="203">
        <v>3.0</v>
      </c>
      <c r="CF91" s="203">
        <v>3.0</v>
      </c>
      <c r="CG91" s="203">
        <v>3.0</v>
      </c>
      <c r="CH91" s="203">
        <v>3.0</v>
      </c>
      <c r="CI91" s="203">
        <v>2.0</v>
      </c>
      <c r="CJ91" s="203">
        <v>2.0</v>
      </c>
      <c r="CK91" s="203">
        <v>3.0</v>
      </c>
      <c r="CL91" s="203">
        <v>3.0</v>
      </c>
      <c r="CM91" s="209">
        <v>1.0</v>
      </c>
      <c r="CN91" s="203">
        <v>1.0</v>
      </c>
      <c r="CO91" s="203">
        <v>1.0</v>
      </c>
    </row>
    <row r="92" ht="15.75" customHeight="1">
      <c r="A92" s="185" t="s">
        <v>757</v>
      </c>
      <c r="B92" s="185" t="s">
        <v>439</v>
      </c>
      <c r="C92" s="185" t="s">
        <v>82</v>
      </c>
      <c r="D92" s="185" t="s">
        <v>60</v>
      </c>
      <c r="E92" s="195" t="s">
        <v>931</v>
      </c>
      <c r="F92" s="196" t="str">
        <f t="shared" si="8"/>
        <v>RServOpenEndCode - Custom</v>
      </c>
      <c r="G92" s="196" t="str">
        <f>'Ad-Hoc | Reporting &amp; Analytics'!$F30</f>
        <v>Custom coding schema or file delivery</v>
      </c>
      <c r="H92" s="197"/>
      <c r="I92" s="191"/>
      <c r="J92" s="191" t="str">
        <f>'Ad-Hoc | Reporting &amp; Analytics'!$F31</f>
        <v>Custom Quote</v>
      </c>
      <c r="K92" s="198"/>
      <c r="L92" s="198"/>
      <c r="M92" s="198"/>
      <c r="N92" s="198"/>
      <c r="O92" s="198"/>
      <c r="P92" s="198"/>
      <c r="Q92" s="198"/>
      <c r="R92" s="195" t="s">
        <v>933</v>
      </c>
      <c r="S92" s="200"/>
      <c r="T92" s="195" t="s">
        <v>765</v>
      </c>
      <c r="U92" s="195" t="s">
        <v>765</v>
      </c>
      <c r="V92" s="195" t="s">
        <v>765</v>
      </c>
      <c r="W92" s="201"/>
      <c r="X92" s="195" t="s">
        <v>43</v>
      </c>
      <c r="Y92" s="195" t="s">
        <v>933</v>
      </c>
      <c r="Z92" s="195"/>
      <c r="AA92" s="202"/>
      <c r="AB92" s="202">
        <v>0.6</v>
      </c>
      <c r="AC92" s="203">
        <v>0.0</v>
      </c>
      <c r="AD92" s="203">
        <v>3.0</v>
      </c>
      <c r="AE92" s="195" t="s">
        <v>934</v>
      </c>
      <c r="AF92" s="195" t="s">
        <v>776</v>
      </c>
      <c r="AG92" s="195" t="s">
        <v>108</v>
      </c>
      <c r="AH92" s="204">
        <v>1.0</v>
      </c>
      <c r="AI92" s="204">
        <v>1.0</v>
      </c>
      <c r="AJ92" s="204"/>
      <c r="AK92" s="204"/>
      <c r="AL92" s="204"/>
      <c r="AM92" s="205"/>
      <c r="AN92" s="205">
        <f>(AH92*'Staff Rates (Internal)'!B$2)+(AI92*'Staff Rates (Internal)'!B$3)+(AJ92*'Staff Rates (Internal)'!B$4)+(AK92*'Staff Rates (Internal)'!B$5)+(AL92*'Staff Rates (Internal)'!B$6)+(AM92*'Staff Rates (Internal)'!B$7)</f>
        <v>109.5</v>
      </c>
      <c r="AO92" s="206">
        <f>(AH92*'Staff Rates (External)'!B$2)+(AI92*'Staff Rates (External)'!B$3)+(AJ92*'Staff Rates (External)'!B$4)+(AK92*'Staff Rates (External)'!B$5)+(AL92*'Staff Rates (External)'!B$6)+(AM92*'Staff Rates (External)'!B$7)</f>
        <v>500</v>
      </c>
      <c r="AR92" s="195" t="s">
        <v>935</v>
      </c>
      <c r="AS92" s="195" t="s">
        <v>887</v>
      </c>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7"/>
      <c r="CC92" s="208" t="str">
        <f t="shared" si="2"/>
        <v>Open End Coding</v>
      </c>
      <c r="CD92" s="208">
        <f t="shared" si="3"/>
        <v>1.909090909</v>
      </c>
      <c r="CE92" s="203">
        <v>1.0</v>
      </c>
      <c r="CF92" s="203">
        <v>1.0</v>
      </c>
      <c r="CG92" s="203">
        <v>3.0</v>
      </c>
      <c r="CH92" s="203">
        <v>3.0</v>
      </c>
      <c r="CI92" s="203">
        <v>2.0</v>
      </c>
      <c r="CJ92" s="203">
        <v>2.0</v>
      </c>
      <c r="CK92" s="203">
        <v>3.0</v>
      </c>
      <c r="CL92" s="203">
        <v>3.0</v>
      </c>
      <c r="CM92" s="209">
        <v>1.0</v>
      </c>
      <c r="CN92" s="203">
        <v>1.0</v>
      </c>
      <c r="CO92" s="203">
        <v>1.0</v>
      </c>
    </row>
    <row r="93" ht="15.75" customHeight="1">
      <c r="A93" s="185" t="s">
        <v>757</v>
      </c>
      <c r="B93" s="185" t="s">
        <v>439</v>
      </c>
      <c r="C93" s="185" t="s">
        <v>83</v>
      </c>
      <c r="D93" s="185" t="s">
        <v>56</v>
      </c>
      <c r="E93" s="195" t="s">
        <v>938</v>
      </c>
      <c r="F93" s="196" t="str">
        <f t="shared" si="8"/>
        <v>RServTransBE - Standard</v>
      </c>
      <c r="G93" s="196" t="str">
        <f>'Ad-Hoc | Reporting &amp; Analytics'!$C34</f>
        <v>Translation per word of open ends plus uploading importing coded data into client's Qualtrics account
Tier 2 Languages:
Chinese Simplified
Chinese Traditional
Czech
French CA
French EU
French-CA
German
Greek
Hungarian
Italian
Polish
Portuguese (BZ)
Portuguese (EU) 
Russian
Slovak
Slovenian
Spanish (EU)
Spanish Mexican
Spanish Universal</v>
      </c>
      <c r="H93" s="197" t="s">
        <v>939</v>
      </c>
      <c r="I93" s="191"/>
      <c r="J93" s="191" t="str">
        <f>'Ad-Hoc | Reporting &amp; Analytics'!$C35</f>
        <v>$0.61/word</v>
      </c>
      <c r="K93" s="198"/>
      <c r="L93" s="198"/>
      <c r="M93" s="198"/>
      <c r="N93" s="198"/>
      <c r="O93" s="199" t="s">
        <v>796</v>
      </c>
      <c r="P93" s="199" t="s">
        <v>797</v>
      </c>
      <c r="Q93" s="198" t="s">
        <v>886</v>
      </c>
      <c r="R93" s="195" t="s">
        <v>799</v>
      </c>
      <c r="S93" s="200"/>
      <c r="T93" s="195" t="s">
        <v>765</v>
      </c>
      <c r="U93" s="195" t="s">
        <v>765</v>
      </c>
      <c r="V93" s="195" t="s">
        <v>765</v>
      </c>
      <c r="W93" s="201"/>
      <c r="X93" s="195">
        <v>0.242</v>
      </c>
      <c r="Y93" s="195" t="s">
        <v>799</v>
      </c>
      <c r="Z93" s="195"/>
      <c r="AA93" s="202"/>
      <c r="AB93" s="202">
        <v>0.6</v>
      </c>
      <c r="AC93" s="203">
        <v>0.0</v>
      </c>
      <c r="AD93" s="203">
        <v>1.0</v>
      </c>
      <c r="AE93" s="195" t="s">
        <v>940</v>
      </c>
      <c r="AF93" s="195" t="s">
        <v>768</v>
      </c>
      <c r="AG93" s="195" t="s">
        <v>108</v>
      </c>
      <c r="AH93" s="204">
        <v>5.0</v>
      </c>
      <c r="AI93" s="204">
        <v>0.5</v>
      </c>
      <c r="AJ93" s="204"/>
      <c r="AK93" s="204"/>
      <c r="AL93" s="204"/>
      <c r="AM93" s="205"/>
      <c r="AN93" s="205">
        <f>(AH93*'Staff Rates (Internal)'!B$2)+(AI93*'Staff Rates (Internal)'!B$3)+(AJ93*'Staff Rates (Internal)'!B$4)+(AK93*'Staff Rates (Internal)'!B$5)+(AL93*'Staff Rates (Internal)'!B$6)+(AM93*'Staff Rates (Internal)'!B$7)</f>
        <v>243.75</v>
      </c>
      <c r="AO93" s="206">
        <f>(AH93*'Staff Rates (External)'!B$2)+(AI93*'Staff Rates (External)'!B$3)+(AJ93*'Staff Rates (External)'!B$4)+(AK93*'Staff Rates (External)'!B$5)+(AL93*'Staff Rates (External)'!B$6)+(AM93*'Staff Rates (External)'!B$7)</f>
        <v>1375</v>
      </c>
      <c r="AR93" s="232" t="s">
        <v>801</v>
      </c>
      <c r="AS93" s="195" t="s">
        <v>802</v>
      </c>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7"/>
      <c r="CC93" s="208" t="str">
        <f t="shared" si="2"/>
        <v>Translations (back-end)</v>
      </c>
      <c r="CD93" s="208">
        <f t="shared" si="3"/>
        <v>2.181818182</v>
      </c>
      <c r="CE93" s="203">
        <v>3.0</v>
      </c>
      <c r="CF93" s="203">
        <v>3.0</v>
      </c>
      <c r="CG93" s="203">
        <v>3.0</v>
      </c>
      <c r="CH93" s="203">
        <v>2.0</v>
      </c>
      <c r="CI93" s="203">
        <v>2.0</v>
      </c>
      <c r="CJ93" s="203">
        <v>2.0</v>
      </c>
      <c r="CK93" s="203">
        <v>3.0</v>
      </c>
      <c r="CL93" s="203">
        <v>3.0</v>
      </c>
      <c r="CM93" s="209">
        <v>1.0</v>
      </c>
      <c r="CN93" s="203">
        <v>1.0</v>
      </c>
      <c r="CO93" s="203">
        <v>1.0</v>
      </c>
    </row>
    <row r="94" ht="15.75" customHeight="1">
      <c r="A94" s="185" t="s">
        <v>757</v>
      </c>
      <c r="B94" s="185" t="s">
        <v>439</v>
      </c>
      <c r="C94" s="185" t="s">
        <v>83</v>
      </c>
      <c r="D94" s="185" t="s">
        <v>58</v>
      </c>
      <c r="E94" s="195" t="s">
        <v>938</v>
      </c>
      <c r="F94" s="196" t="str">
        <f t="shared" si="8"/>
        <v>RServTransBE - Standard Plus</v>
      </c>
      <c r="G94" s="196" t="str">
        <f>'Ad-Hoc | Reporting &amp; Analytics'!$D34</f>
        <v>Translation per word of open ends plus uploading importing coded data into client's Qualtrics account
Tier 3 Languages:
All other languages not in Tier 1 or Tier 2. Some more common ones include:
Arabic
Croatian
Danish
Dutch
Filipino
Hebrew
Hindi
Indonesian
Japanese 
Norwegian
Thai
Turkish
Urdu
Vietnamese</v>
      </c>
      <c r="H94" s="197" t="s">
        <v>939</v>
      </c>
      <c r="I94" s="191"/>
      <c r="J94" s="191" t="str">
        <f>'Ad-Hoc | Reporting &amp; Analytics'!$D35</f>
        <v>$0.71/word</v>
      </c>
      <c r="K94" s="198"/>
      <c r="L94" s="198"/>
      <c r="M94" s="198"/>
      <c r="N94" s="198"/>
      <c r="O94" s="199" t="s">
        <v>796</v>
      </c>
      <c r="P94" s="199" t="s">
        <v>797</v>
      </c>
      <c r="Q94" s="198" t="s">
        <v>886</v>
      </c>
      <c r="R94" s="195" t="s">
        <v>799</v>
      </c>
      <c r="S94" s="200"/>
      <c r="T94" s="195" t="s">
        <v>765</v>
      </c>
      <c r="U94" s="195" t="s">
        <v>765</v>
      </c>
      <c r="V94" s="195" t="s">
        <v>765</v>
      </c>
      <c r="W94" s="201"/>
      <c r="X94" s="195">
        <v>0.282</v>
      </c>
      <c r="Y94" s="195" t="s">
        <v>799</v>
      </c>
      <c r="Z94" s="195"/>
      <c r="AA94" s="202"/>
      <c r="AB94" s="202">
        <v>0.6</v>
      </c>
      <c r="AC94" s="203">
        <v>0.0</v>
      </c>
      <c r="AD94" s="203">
        <v>1.0</v>
      </c>
      <c r="AE94" s="195" t="s">
        <v>940</v>
      </c>
      <c r="AF94" s="195" t="s">
        <v>768</v>
      </c>
      <c r="AG94" s="195" t="s">
        <v>108</v>
      </c>
      <c r="AH94" s="204">
        <v>0.5</v>
      </c>
      <c r="AI94" s="204">
        <v>0.5</v>
      </c>
      <c r="AJ94" s="204"/>
      <c r="AK94" s="204"/>
      <c r="AL94" s="204"/>
      <c r="AM94" s="205"/>
      <c r="AN94" s="205">
        <f>(AH94*'Staff Rates (Internal)'!B$2)+(AI94*'Staff Rates (Internal)'!B$3)+(AJ94*'Staff Rates (Internal)'!B$4)+(AK94*'Staff Rates (Internal)'!B$5)+(AL94*'Staff Rates (Internal)'!B$6)+(AM94*'Staff Rates (Internal)'!B$7)</f>
        <v>54.75</v>
      </c>
      <c r="AO94" s="206">
        <f>(AH94*'Staff Rates (External)'!B$2)+(AI94*'Staff Rates (External)'!B$3)+(AJ94*'Staff Rates (External)'!B$4)+(AK94*'Staff Rates (External)'!B$5)+(AL94*'Staff Rates (External)'!B$6)+(AM94*'Staff Rates (External)'!B$7)</f>
        <v>250</v>
      </c>
      <c r="AR94" s="232" t="s">
        <v>801</v>
      </c>
      <c r="AS94" s="195" t="s">
        <v>802</v>
      </c>
      <c r="AX94" s="204"/>
      <c r="AY94" s="204"/>
      <c r="AZ94" s="204"/>
      <c r="BA94" s="204"/>
      <c r="BB94" s="204"/>
      <c r="BC94" s="204"/>
      <c r="BD94" s="204"/>
      <c r="BE94" s="204"/>
      <c r="BF94" s="204"/>
      <c r="BG94" s="204"/>
      <c r="BH94" s="204"/>
      <c r="BI94" s="204"/>
      <c r="BJ94" s="204"/>
      <c r="BK94" s="204"/>
      <c r="BL94" s="204"/>
      <c r="BM94" s="204"/>
      <c r="BN94" s="204"/>
      <c r="BO94" s="204"/>
      <c r="BP94" s="204"/>
      <c r="BQ94" s="204"/>
      <c r="BR94" s="204"/>
      <c r="BS94" s="204"/>
      <c r="BT94" s="204"/>
      <c r="BU94" s="204"/>
      <c r="BV94" s="204"/>
      <c r="BW94" s="204"/>
      <c r="BX94" s="204"/>
      <c r="BY94" s="204"/>
      <c r="BZ94" s="204"/>
      <c r="CA94" s="204"/>
      <c r="CB94" s="207"/>
      <c r="CC94" s="208" t="str">
        <f t="shared" si="2"/>
        <v>Translations (back-end)</v>
      </c>
      <c r="CD94" s="208">
        <f t="shared" si="3"/>
        <v>2.181818182</v>
      </c>
      <c r="CE94" s="203">
        <v>3.0</v>
      </c>
      <c r="CF94" s="203">
        <v>3.0</v>
      </c>
      <c r="CG94" s="203">
        <v>3.0</v>
      </c>
      <c r="CH94" s="203">
        <v>2.0</v>
      </c>
      <c r="CI94" s="203">
        <v>2.0</v>
      </c>
      <c r="CJ94" s="203">
        <v>2.0</v>
      </c>
      <c r="CK94" s="203">
        <v>3.0</v>
      </c>
      <c r="CL94" s="203">
        <v>3.0</v>
      </c>
      <c r="CM94" s="209">
        <v>1.0</v>
      </c>
      <c r="CN94" s="203">
        <v>1.0</v>
      </c>
      <c r="CO94" s="203">
        <v>1.0</v>
      </c>
    </row>
    <row r="95" ht="15.75" customHeight="1">
      <c r="A95" s="185" t="s">
        <v>757</v>
      </c>
      <c r="B95" s="185" t="s">
        <v>439</v>
      </c>
      <c r="C95" s="185" t="s">
        <v>85</v>
      </c>
      <c r="D95" s="185" t="s">
        <v>56</v>
      </c>
      <c r="E95" s="195" t="s">
        <v>941</v>
      </c>
      <c r="F95" s="196" t="str">
        <f t="shared" si="8"/>
        <v>RServDataTrans - Standard</v>
      </c>
      <c r="G95" s="196" t="str">
        <f>'Ad-Hoc | Reporting &amp; Analytics'!$C42</f>
        <v>Transposing the data</v>
      </c>
      <c r="H95" s="197"/>
      <c r="I95" s="191"/>
      <c r="J95" s="191" t="str">
        <f>'Ad-Hoc | Reporting &amp; Analytics'!$C43</f>
        <v>Custom Quote</v>
      </c>
      <c r="K95" s="198"/>
      <c r="L95" s="198"/>
      <c r="M95" s="198"/>
      <c r="N95" s="198"/>
      <c r="O95" s="199" t="s">
        <v>796</v>
      </c>
      <c r="P95" s="199" t="s">
        <v>908</v>
      </c>
      <c r="Q95" s="215" t="s">
        <v>763</v>
      </c>
      <c r="R95" s="195" t="s">
        <v>764</v>
      </c>
      <c r="S95" s="200"/>
      <c r="T95" s="195" t="s">
        <v>765</v>
      </c>
      <c r="U95" s="195" t="s">
        <v>765</v>
      </c>
      <c r="V95" s="195" t="s">
        <v>765</v>
      </c>
      <c r="W95" s="201"/>
      <c r="X95" s="195"/>
      <c r="Y95" s="195"/>
      <c r="Z95" s="195"/>
      <c r="AA95" s="195"/>
      <c r="AB95" s="195"/>
      <c r="AC95" s="203">
        <v>0.0</v>
      </c>
      <c r="AD95" s="203">
        <v>3.0</v>
      </c>
      <c r="AE95" s="195" t="s">
        <v>85</v>
      </c>
      <c r="AF95" s="195" t="s">
        <v>768</v>
      </c>
      <c r="AG95" s="195" t="s">
        <v>108</v>
      </c>
      <c r="AH95" s="204">
        <v>0.5</v>
      </c>
      <c r="AI95" s="204">
        <v>0.5</v>
      </c>
      <c r="AJ95" s="204"/>
      <c r="AK95" s="204"/>
      <c r="AL95" s="204"/>
      <c r="AM95" s="205"/>
      <c r="AN95" s="205">
        <f>(AH95*'Staff Rates (Internal)'!B$2)+(AI95*'Staff Rates (Internal)'!B$3)+(AJ95*'Staff Rates (Internal)'!B$4)+(AK95*'Staff Rates (Internal)'!B$5)+(AL95*'Staff Rates (Internal)'!B$6)+(AM95*'Staff Rates (Internal)'!B$7)</f>
        <v>54.75</v>
      </c>
      <c r="AO95" s="206">
        <f>(AH95*'Staff Rates (External)'!B$2)+(AI95*'Staff Rates (External)'!B$3)+(AJ95*'Staff Rates (External)'!B$4)+(AK95*'Staff Rates (External)'!B$5)+(AL95*'Staff Rates (External)'!B$6)+(AM95*'Staff Rates (External)'!B$7)</f>
        <v>250</v>
      </c>
      <c r="AR95" s="195" t="s">
        <v>887</v>
      </c>
      <c r="AS95" s="195" t="s">
        <v>896</v>
      </c>
      <c r="AX95" s="204"/>
      <c r="AY95" s="204"/>
      <c r="AZ95" s="204"/>
      <c r="BA95" s="204"/>
      <c r="BB95" s="204"/>
      <c r="BC95" s="204"/>
      <c r="BD95" s="204"/>
      <c r="BE95" s="204"/>
      <c r="BF95" s="204"/>
      <c r="BG95" s="204"/>
      <c r="BH95" s="204"/>
      <c r="BI95" s="204"/>
      <c r="BJ95" s="204"/>
      <c r="BK95" s="204"/>
      <c r="BL95" s="204"/>
      <c r="BM95" s="204"/>
      <c r="BN95" s="204"/>
      <c r="BO95" s="204"/>
      <c r="BP95" s="204"/>
      <c r="BQ95" s="204"/>
      <c r="BR95" s="204"/>
      <c r="BS95" s="204"/>
      <c r="BT95" s="204"/>
      <c r="BU95" s="204"/>
      <c r="BV95" s="204"/>
      <c r="BW95" s="204"/>
      <c r="BX95" s="204"/>
      <c r="BY95" s="204"/>
      <c r="BZ95" s="204"/>
      <c r="CA95" s="204"/>
      <c r="CB95" s="207"/>
      <c r="CC95" s="208" t="str">
        <f t="shared" si="2"/>
        <v>Data Transposition</v>
      </c>
      <c r="CD95" s="208">
        <f t="shared" si="3"/>
        <v>1.454545455</v>
      </c>
      <c r="CE95" s="203">
        <v>1.0</v>
      </c>
      <c r="CF95" s="203">
        <v>1.0</v>
      </c>
      <c r="CG95" s="203">
        <v>2.0</v>
      </c>
      <c r="CH95" s="203">
        <v>1.0</v>
      </c>
      <c r="CI95" s="203">
        <v>2.0</v>
      </c>
      <c r="CJ95" s="203">
        <v>1.0</v>
      </c>
      <c r="CK95" s="203">
        <v>2.0</v>
      </c>
      <c r="CL95" s="203">
        <v>3.0</v>
      </c>
      <c r="CM95" s="209">
        <v>1.0</v>
      </c>
      <c r="CN95" s="203">
        <v>1.0</v>
      </c>
      <c r="CO95" s="203">
        <v>1.0</v>
      </c>
    </row>
    <row r="96" ht="15.75" customHeight="1">
      <c r="A96" s="185" t="s">
        <v>757</v>
      </c>
      <c r="B96" s="185" t="s">
        <v>439</v>
      </c>
      <c r="C96" s="185" t="s">
        <v>88</v>
      </c>
      <c r="D96" s="185" t="s">
        <v>56</v>
      </c>
      <c r="E96" s="195" t="s">
        <v>942</v>
      </c>
      <c r="F96" s="196" t="str">
        <f t="shared" si="8"/>
        <v>RServConjointAdHoc - Standard</v>
      </c>
      <c r="G96" s="196" t="str">
        <f>'Ad-Hoc | Reporting &amp; Analytics'!$C47</f>
        <v>Qualtrics will provide Conjoint design, programming, and reporting.
Such a Conjoint will include:
3–7 features, each with 2–5 levels
Minimal restriction logic in level pairing
Report in .ppt format with key metrics for all statements for the overall population
Up to 2 cuts (each with 2–3 populations)
Simulator tool
Assumptions:
Features and levels are already decided by Customer (no consultation needed).
Conjoint study and report will be provided in English only.
Assumes reporting and analysis of only the Conjoint. Supplemental reporting or analysis requires the purchase of additional reporting scope.
Estimated timeline: 5 days for design and programming, 10 days for analysis and reporting
</v>
      </c>
      <c r="H96" s="210" t="s">
        <v>891</v>
      </c>
      <c r="I96" s="190" t="s">
        <v>943</v>
      </c>
      <c r="J96" s="191">
        <f>'Ad-Hoc | Reporting &amp; Analytics'!$C48</f>
        <v>12000</v>
      </c>
      <c r="K96" s="198"/>
      <c r="L96" s="198"/>
      <c r="M96" s="198"/>
      <c r="N96" s="198"/>
      <c r="O96" s="199" t="s">
        <v>944</v>
      </c>
      <c r="P96" s="199" t="s">
        <v>908</v>
      </c>
      <c r="Q96" s="215" t="s">
        <v>945</v>
      </c>
      <c r="R96" s="195" t="s">
        <v>764</v>
      </c>
      <c r="S96" s="200"/>
      <c r="T96" s="195" t="s">
        <v>765</v>
      </c>
      <c r="U96" s="195" t="s">
        <v>765</v>
      </c>
      <c r="V96" s="195" t="s">
        <v>765</v>
      </c>
      <c r="W96" s="201"/>
      <c r="X96" s="195"/>
      <c r="Y96" s="195"/>
      <c r="Z96" s="195"/>
      <c r="AA96" s="195"/>
      <c r="AB96" s="195"/>
      <c r="AC96" s="203">
        <v>0.0</v>
      </c>
      <c r="AD96" s="203">
        <v>3.0</v>
      </c>
      <c r="AE96" s="195" t="s">
        <v>946</v>
      </c>
      <c r="AF96" s="195" t="s">
        <v>767</v>
      </c>
      <c r="AG96" s="195" t="s">
        <v>776</v>
      </c>
      <c r="AH96" s="204"/>
      <c r="AI96" s="204"/>
      <c r="AJ96" s="204"/>
      <c r="AK96" s="204"/>
      <c r="AL96" s="204"/>
      <c r="AM96" s="205"/>
      <c r="AN96" s="205">
        <f>(AH96*'Staff Rates (Internal)'!B$2)+(AI96*'Staff Rates (Internal)'!B$3)+(AJ96*'Staff Rates (Internal)'!B$4)+(AK96*'Staff Rates (Internal)'!B$5)+(AL96*'Staff Rates (Internal)'!B$6)+(AM96*'Staff Rates (Internal)'!B$7)</f>
        <v>0</v>
      </c>
      <c r="AO96" s="206">
        <f>(AH96*'Staff Rates (External)'!B$2)+(AI96*'Staff Rates (External)'!B$3)+(AJ96*'Staff Rates (External)'!B$4)+(AK96*'Staff Rates (External)'!B$5)+(AL96*'Staff Rates (External)'!B$6)+(AM96*'Staff Rates (External)'!B$7)</f>
        <v>0</v>
      </c>
      <c r="AR96" s="195" t="s">
        <v>769</v>
      </c>
      <c r="AS96" s="195" t="s">
        <v>770</v>
      </c>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7"/>
      <c r="CC96" s="208" t="str">
        <f t="shared" si="2"/>
        <v>Conjoint Design &amp; Analysis</v>
      </c>
      <c r="CD96" s="208">
        <f t="shared" si="3"/>
        <v>2.3</v>
      </c>
      <c r="CE96" s="203">
        <v>3.0</v>
      </c>
      <c r="CF96" s="203">
        <v>3.0</v>
      </c>
      <c r="CG96" s="203">
        <v>2.0</v>
      </c>
      <c r="CH96" s="203">
        <v>3.0</v>
      </c>
      <c r="CI96" s="203">
        <v>2.0</v>
      </c>
      <c r="CJ96" s="203">
        <v>3.0</v>
      </c>
      <c r="CK96" s="203" t="s">
        <v>43</v>
      </c>
      <c r="CL96" s="203">
        <v>3.0</v>
      </c>
      <c r="CM96" s="209">
        <v>1.0</v>
      </c>
      <c r="CN96" s="203">
        <v>1.0</v>
      </c>
      <c r="CO96" s="203">
        <v>2.0</v>
      </c>
    </row>
    <row r="97" ht="15.75" customHeight="1">
      <c r="A97" s="185" t="s">
        <v>757</v>
      </c>
      <c r="B97" s="185" t="s">
        <v>439</v>
      </c>
      <c r="C97" s="185" t="s">
        <v>88</v>
      </c>
      <c r="D97" s="185" t="s">
        <v>58</v>
      </c>
      <c r="E97" s="195" t="s">
        <v>942</v>
      </c>
      <c r="F97" s="196" t="str">
        <f t="shared" si="8"/>
        <v>RServConjointAdHoc - Standard Plus</v>
      </c>
      <c r="G97" s="196" t="str">
        <f>'Ad-Hoc | Reporting &amp; Analytics'!$D47</f>
        <v>Qualtrics will provide Conjoint design, programming, and reporting.
Such a Conjoint will include:
3–7 features, each with 2–5 levels
Minimal restriction logic in level pairing
Report in .ppt format with key metrics for all statements for the overall population
Up to 4 cuts (each with 2–3 populations)
Simulator tool
Assumptions:
Design consultation to decide on final features and levels, including restriction logic
Conjoint study and report will be provided in English only.
Assumes reporting and analysis of only the Conjoint. Supplemental reporting or analysis requires the purchase of additional reporting scope.
Estimated timeline: 5 days for design and programming, 10 days for analysis and reporting
</v>
      </c>
      <c r="H97" s="210" t="s">
        <v>891</v>
      </c>
      <c r="I97" s="190" t="s">
        <v>943</v>
      </c>
      <c r="J97" s="191">
        <f>'Ad-Hoc | Reporting &amp; Analytics'!$D48</f>
        <v>15000</v>
      </c>
      <c r="K97" s="198"/>
      <c r="L97" s="198"/>
      <c r="M97" s="198"/>
      <c r="N97" s="198"/>
      <c r="O97" s="199" t="s">
        <v>944</v>
      </c>
      <c r="P97" s="199" t="s">
        <v>908</v>
      </c>
      <c r="Q97" s="215" t="s">
        <v>763</v>
      </c>
      <c r="R97" s="195" t="s">
        <v>764</v>
      </c>
      <c r="S97" s="200"/>
      <c r="T97" s="195" t="s">
        <v>765</v>
      </c>
      <c r="U97" s="195" t="s">
        <v>765</v>
      </c>
      <c r="V97" s="195" t="s">
        <v>765</v>
      </c>
      <c r="W97" s="201"/>
      <c r="X97" s="195"/>
      <c r="Y97" s="195"/>
      <c r="Z97" s="195"/>
      <c r="AA97" s="195"/>
      <c r="AB97" s="195"/>
      <c r="AC97" s="203">
        <v>0.0</v>
      </c>
      <c r="AD97" s="203">
        <v>3.0</v>
      </c>
      <c r="AE97" s="195" t="s">
        <v>946</v>
      </c>
      <c r="AF97" s="195" t="s">
        <v>767</v>
      </c>
      <c r="AG97" s="195" t="s">
        <v>776</v>
      </c>
      <c r="AH97" s="204"/>
      <c r="AI97" s="204"/>
      <c r="AJ97" s="204"/>
      <c r="AK97" s="204"/>
      <c r="AL97" s="204"/>
      <c r="AM97" s="205"/>
      <c r="AN97" s="205">
        <f>(AH97*'Staff Rates (Internal)'!B$2)+(AI97*'Staff Rates (Internal)'!B$3)+(AJ97*'Staff Rates (Internal)'!B$4)+(AK97*'Staff Rates (Internal)'!B$5)+(AL97*'Staff Rates (Internal)'!B$6)+(AM97*'Staff Rates (Internal)'!B$7)</f>
        <v>0</v>
      </c>
      <c r="AO97" s="206">
        <f>(AH97*'Staff Rates (External)'!B$2)+(AI97*'Staff Rates (External)'!B$3)+(AJ97*'Staff Rates (External)'!B$4)+(AK97*'Staff Rates (External)'!B$5)+(AL97*'Staff Rates (External)'!B$6)+(AM97*'Staff Rates (External)'!B$7)</f>
        <v>0</v>
      </c>
      <c r="AR97" s="195" t="s">
        <v>769</v>
      </c>
      <c r="AS97" s="195" t="s">
        <v>770</v>
      </c>
      <c r="AX97" s="204"/>
      <c r="AY97" s="204"/>
      <c r="AZ97" s="204"/>
      <c r="BA97" s="204"/>
      <c r="BB97" s="204"/>
      <c r="BC97" s="204"/>
      <c r="BD97" s="204"/>
      <c r="BE97" s="204"/>
      <c r="BF97" s="204"/>
      <c r="BG97" s="204"/>
      <c r="BH97" s="204"/>
      <c r="BI97" s="204"/>
      <c r="BJ97" s="204"/>
      <c r="BK97" s="204"/>
      <c r="BL97" s="204"/>
      <c r="BM97" s="204"/>
      <c r="BN97" s="204"/>
      <c r="BO97" s="204"/>
      <c r="BP97" s="204"/>
      <c r="BQ97" s="204"/>
      <c r="BR97" s="204"/>
      <c r="BS97" s="204"/>
      <c r="BT97" s="204"/>
      <c r="BU97" s="204"/>
      <c r="BV97" s="204"/>
      <c r="BW97" s="204"/>
      <c r="BX97" s="204"/>
      <c r="BY97" s="204"/>
      <c r="BZ97" s="204"/>
      <c r="CA97" s="204"/>
      <c r="CB97" s="207"/>
      <c r="CC97" s="208" t="str">
        <f t="shared" si="2"/>
        <v>Conjoint Design &amp; Analysis</v>
      </c>
      <c r="CD97" s="208">
        <f t="shared" si="3"/>
        <v>2.3</v>
      </c>
      <c r="CE97" s="203">
        <v>3.0</v>
      </c>
      <c r="CF97" s="203">
        <v>3.0</v>
      </c>
      <c r="CG97" s="203">
        <v>2.0</v>
      </c>
      <c r="CH97" s="203">
        <v>3.0</v>
      </c>
      <c r="CI97" s="203">
        <v>2.0</v>
      </c>
      <c r="CJ97" s="203">
        <v>3.0</v>
      </c>
      <c r="CK97" s="203" t="s">
        <v>43</v>
      </c>
      <c r="CL97" s="203">
        <v>3.0</v>
      </c>
      <c r="CM97" s="209">
        <v>1.0</v>
      </c>
      <c r="CN97" s="203">
        <v>1.0</v>
      </c>
      <c r="CO97" s="203">
        <v>2.0</v>
      </c>
    </row>
    <row r="98" ht="15.75" customHeight="1">
      <c r="A98" s="185" t="s">
        <v>757</v>
      </c>
      <c r="B98" s="185" t="s">
        <v>439</v>
      </c>
      <c r="C98" s="185" t="s">
        <v>88</v>
      </c>
      <c r="D98" s="185" t="s">
        <v>59</v>
      </c>
      <c r="E98" s="195" t="s">
        <v>942</v>
      </c>
      <c r="F98" s="196" t="str">
        <f t="shared" si="8"/>
        <v>RServConjointAdHoc - Advanced</v>
      </c>
      <c r="G98" s="196" t="str">
        <f>'Ad-Hoc | Reporting &amp; Analytics'!$E47</f>
        <v>Conjoint Design, Programming and Reporting which includes:
3-7 Features, each with 2-5 levels
Moderate restriction logic on level pairing
Design consultation to help create or eliminate features and levels, including restrictions. Or client has an excessive number of attributes that need to be paired back.
Report in .ppt format with key metrics for all statements for the overall population
Up to 4 cuts (each with 2–3 populations)
Simulator tool
Assumptions:
Design consultation to decide on final features and levels, including restriction logic
Conjoint study and report will be provided in English only.
Assumes reporting and analysis of only the Conjoint. Supplemental reporting or analysis requires the purchase of additional reporting scope.
Estimated timeline: 5 days for design and programming, 10 days for analysis and reporting
</v>
      </c>
      <c r="H98" s="210" t="s">
        <v>891</v>
      </c>
      <c r="I98" s="190" t="s">
        <v>943</v>
      </c>
      <c r="J98" s="191">
        <f>'Ad-Hoc | Reporting &amp; Analytics'!$E48</f>
        <v>18000</v>
      </c>
      <c r="K98" s="198"/>
      <c r="L98" s="198"/>
      <c r="M98" s="198"/>
      <c r="N98" s="198"/>
      <c r="O98" s="199" t="s">
        <v>944</v>
      </c>
      <c r="P98" s="199" t="s">
        <v>908</v>
      </c>
      <c r="Q98" s="215" t="s">
        <v>763</v>
      </c>
      <c r="R98" s="195" t="s">
        <v>764</v>
      </c>
      <c r="S98" s="200"/>
      <c r="T98" s="195" t="s">
        <v>765</v>
      </c>
      <c r="U98" s="195" t="s">
        <v>765</v>
      </c>
      <c r="V98" s="195" t="s">
        <v>765</v>
      </c>
      <c r="W98" s="201"/>
      <c r="X98" s="195"/>
      <c r="Y98" s="195"/>
      <c r="Z98" s="195"/>
      <c r="AA98" s="195"/>
      <c r="AB98" s="195"/>
      <c r="AC98" s="203">
        <v>0.0</v>
      </c>
      <c r="AD98" s="203">
        <v>3.0</v>
      </c>
      <c r="AE98" s="195" t="s">
        <v>946</v>
      </c>
      <c r="AF98" s="195" t="s">
        <v>767</v>
      </c>
      <c r="AG98" s="195" t="s">
        <v>776</v>
      </c>
      <c r="AH98" s="204"/>
      <c r="AI98" s="204"/>
      <c r="AJ98" s="204"/>
      <c r="AK98" s="204"/>
      <c r="AL98" s="204"/>
      <c r="AM98" s="205"/>
      <c r="AN98" s="205">
        <f>(AH98*'Staff Rates (Internal)'!B$2)+(AI98*'Staff Rates (Internal)'!B$3)+(AJ98*'Staff Rates (Internal)'!B$4)+(AK98*'Staff Rates (Internal)'!B$5)+(AL98*'Staff Rates (Internal)'!B$6)+(AM98*'Staff Rates (Internal)'!B$7)</f>
        <v>0</v>
      </c>
      <c r="AO98" s="206">
        <f>(AH98*'Staff Rates (External)'!B$2)+(AI98*'Staff Rates (External)'!B$3)+(AJ98*'Staff Rates (External)'!B$4)+(AK98*'Staff Rates (External)'!B$5)+(AL98*'Staff Rates (External)'!B$6)+(AM98*'Staff Rates (External)'!B$7)</f>
        <v>0</v>
      </c>
      <c r="AR98" s="195" t="s">
        <v>769</v>
      </c>
      <c r="AS98" s="195" t="s">
        <v>770</v>
      </c>
      <c r="AX98" s="204"/>
      <c r="AY98" s="204"/>
      <c r="AZ98" s="204"/>
      <c r="BA98" s="204"/>
      <c r="BB98" s="204"/>
      <c r="BC98" s="204"/>
      <c r="BD98" s="204"/>
      <c r="BE98" s="204"/>
      <c r="BF98" s="204"/>
      <c r="BG98" s="204"/>
      <c r="BH98" s="204"/>
      <c r="BI98" s="204"/>
      <c r="BJ98" s="204"/>
      <c r="BK98" s="204"/>
      <c r="BL98" s="204"/>
      <c r="BM98" s="204"/>
      <c r="BN98" s="204"/>
      <c r="BO98" s="204"/>
      <c r="BP98" s="204"/>
      <c r="BQ98" s="204"/>
      <c r="BR98" s="204"/>
      <c r="BS98" s="204"/>
      <c r="BT98" s="204"/>
      <c r="BU98" s="204"/>
      <c r="BV98" s="204"/>
      <c r="BW98" s="204"/>
      <c r="BX98" s="204"/>
      <c r="BY98" s="204"/>
      <c r="BZ98" s="204"/>
      <c r="CA98" s="204"/>
      <c r="CB98" s="207"/>
      <c r="CC98" s="208" t="str">
        <f t="shared" si="2"/>
        <v>Conjoint Design &amp; Analysis</v>
      </c>
      <c r="CD98" s="208">
        <f t="shared" si="3"/>
        <v>2.3</v>
      </c>
      <c r="CE98" s="203">
        <v>3.0</v>
      </c>
      <c r="CF98" s="203">
        <v>3.0</v>
      </c>
      <c r="CG98" s="203">
        <v>2.0</v>
      </c>
      <c r="CH98" s="203">
        <v>3.0</v>
      </c>
      <c r="CI98" s="203">
        <v>2.0</v>
      </c>
      <c r="CJ98" s="203">
        <v>3.0</v>
      </c>
      <c r="CK98" s="203" t="s">
        <v>43</v>
      </c>
      <c r="CL98" s="203">
        <v>3.0</v>
      </c>
      <c r="CM98" s="209">
        <v>1.0</v>
      </c>
      <c r="CN98" s="203">
        <v>1.0</v>
      </c>
      <c r="CO98" s="203">
        <v>2.0</v>
      </c>
    </row>
    <row r="99" ht="15.75" customHeight="1">
      <c r="A99" s="185" t="s">
        <v>757</v>
      </c>
      <c r="B99" s="185" t="s">
        <v>439</v>
      </c>
      <c r="C99" s="185" t="s">
        <v>88</v>
      </c>
      <c r="D99" s="185" t="s">
        <v>60</v>
      </c>
      <c r="E99" s="195" t="s">
        <v>942</v>
      </c>
      <c r="F99" s="196" t="str">
        <f t="shared" si="8"/>
        <v>RServConjointAdHoc - Custom</v>
      </c>
      <c r="G99" s="196" t="str">
        <f>'Ad-Hoc | Reporting &amp; Analytics'!$F47</f>
        <v>Custom quote required if any of the following are required:
Rushed timeline 
5+ cuts or complex cuts (+$500-$1000 per additional)
Design restrictions or logic (+$1000-$2000)
Conjoint localized/translated into multiple languages
Custom HTML incl. custom look &amp; feel, hoverover or images (+$1000-$2000)
Multiple conjoints in the same survey
Translations/localizations added to the simulator/report
Custom reporting (e.g., custom scaling, delivery of raw data in client supplied format)</v>
      </c>
      <c r="H99" s="197"/>
      <c r="I99" s="191"/>
      <c r="J99" s="191" t="str">
        <f>'Ad-Hoc | Reporting &amp; Analytics'!$F48</f>
        <v>Custom Quote</v>
      </c>
      <c r="K99" s="198"/>
      <c r="L99" s="198"/>
      <c r="M99" s="198"/>
      <c r="N99" s="198"/>
      <c r="O99" s="230" t="s">
        <v>944</v>
      </c>
      <c r="P99" s="199" t="s">
        <v>908</v>
      </c>
      <c r="Q99" s="215" t="s">
        <v>763</v>
      </c>
      <c r="R99" s="195" t="s">
        <v>764</v>
      </c>
      <c r="S99" s="200"/>
      <c r="T99" s="195" t="s">
        <v>765</v>
      </c>
      <c r="U99" s="195" t="s">
        <v>765</v>
      </c>
      <c r="V99" s="195" t="s">
        <v>765</v>
      </c>
      <c r="W99" s="201"/>
      <c r="X99" s="195"/>
      <c r="Y99" s="195"/>
      <c r="Z99" s="195"/>
      <c r="AA99" s="195"/>
      <c r="AB99" s="195"/>
      <c r="AC99" s="203">
        <v>0.0</v>
      </c>
      <c r="AD99" s="203">
        <v>3.0</v>
      </c>
      <c r="AE99" s="195" t="s">
        <v>946</v>
      </c>
      <c r="AF99" s="195" t="s">
        <v>767</v>
      </c>
      <c r="AG99" s="195" t="s">
        <v>776</v>
      </c>
      <c r="AH99" s="204"/>
      <c r="AI99" s="204"/>
      <c r="AJ99" s="204"/>
      <c r="AK99" s="204"/>
      <c r="AL99" s="204"/>
      <c r="AM99" s="205"/>
      <c r="AN99" s="205">
        <f>(AH99*'Staff Rates (Internal)'!B$2)+(AI99*'Staff Rates (Internal)'!B$3)+(AJ99*'Staff Rates (Internal)'!B$4)+(AK99*'Staff Rates (Internal)'!B$5)+(AL99*'Staff Rates (Internal)'!B$6)+(AM99*'Staff Rates (Internal)'!B$7)</f>
        <v>0</v>
      </c>
      <c r="AO99" s="206">
        <f>(AH99*'Staff Rates (External)'!B$2)+(AI99*'Staff Rates (External)'!B$3)+(AJ99*'Staff Rates (External)'!B$4)+(AK99*'Staff Rates (External)'!B$5)+(AL99*'Staff Rates (External)'!B$6)+(AM99*'Staff Rates (External)'!B$7)</f>
        <v>0</v>
      </c>
      <c r="AR99" s="195" t="s">
        <v>769</v>
      </c>
      <c r="AS99" s="195" t="s">
        <v>770</v>
      </c>
      <c r="AX99" s="204"/>
      <c r="AY99" s="204"/>
      <c r="AZ99" s="204"/>
      <c r="BA99" s="204"/>
      <c r="BB99" s="204"/>
      <c r="BC99" s="204"/>
      <c r="BD99" s="204"/>
      <c r="BE99" s="204"/>
      <c r="BF99" s="204"/>
      <c r="BG99" s="204"/>
      <c r="BH99" s="204"/>
      <c r="BI99" s="204"/>
      <c r="BJ99" s="204"/>
      <c r="BK99" s="204"/>
      <c r="BL99" s="204"/>
      <c r="BM99" s="204"/>
      <c r="BN99" s="204"/>
      <c r="BO99" s="204"/>
      <c r="BP99" s="204"/>
      <c r="BQ99" s="204"/>
      <c r="BR99" s="204"/>
      <c r="BS99" s="204"/>
      <c r="BT99" s="204"/>
      <c r="BU99" s="204"/>
      <c r="BV99" s="204"/>
      <c r="BW99" s="204"/>
      <c r="BX99" s="204"/>
      <c r="BY99" s="204"/>
      <c r="BZ99" s="204"/>
      <c r="CA99" s="204"/>
      <c r="CB99" s="207"/>
      <c r="CC99" s="208" t="str">
        <f t="shared" si="2"/>
        <v>Conjoint Design &amp; Analysis</v>
      </c>
      <c r="CD99" s="208">
        <f t="shared" si="3"/>
        <v>1.9</v>
      </c>
      <c r="CE99" s="203">
        <v>1.0</v>
      </c>
      <c r="CF99" s="203">
        <v>1.0</v>
      </c>
      <c r="CG99" s="203">
        <v>2.0</v>
      </c>
      <c r="CH99" s="203">
        <v>3.0</v>
      </c>
      <c r="CI99" s="203">
        <v>2.0</v>
      </c>
      <c r="CJ99" s="203">
        <v>3.0</v>
      </c>
      <c r="CK99" s="203" t="s">
        <v>43</v>
      </c>
      <c r="CL99" s="203">
        <v>3.0</v>
      </c>
      <c r="CM99" s="209">
        <v>1.0</v>
      </c>
      <c r="CN99" s="203">
        <v>1.0</v>
      </c>
      <c r="CO99" s="203">
        <v>2.0</v>
      </c>
    </row>
    <row r="100" ht="15.75" customHeight="1">
      <c r="A100" s="185" t="s">
        <v>757</v>
      </c>
      <c r="B100" s="185" t="s">
        <v>439</v>
      </c>
      <c r="C100" s="185" t="s">
        <v>89</v>
      </c>
      <c r="D100" s="185" t="s">
        <v>56</v>
      </c>
      <c r="E100" s="195" t="s">
        <v>947</v>
      </c>
      <c r="F100" s="196" t="str">
        <f t="shared" si="8"/>
        <v>RServMaxDiff - Standard</v>
      </c>
      <c r="G100" s="196" t="str">
        <f>'Ad-Hoc | Reporting &amp; Analytics'!$C51</f>
        <v>Qualtrics will provide MaxDiff design, programming, and reporting.
Such a MaxDiff will include: 
8–20 statements
No restrictions or logic within the design
Report in .ppt format with key metrics for all statements (preference share) for the overall population
Up to 2 cuts (each with 2-3 populations)
Assumptions:
Statements are already decided by Customer (no consultation needed).
MaxDiff study and report will be provided in English only.
Assumes reporting and analysis of only the MaxDiff. Supplemental reporting or analysis requires the purchase of additional reporting scope.
Estimated timeline: 5 days for design and programming, 10 days for analysis and reporting
</v>
      </c>
      <c r="H100" s="210" t="s">
        <v>891</v>
      </c>
      <c r="I100" s="190" t="s">
        <v>948</v>
      </c>
      <c r="J100" s="191">
        <f>'Ad-Hoc | Reporting &amp; Analytics'!$C52</f>
        <v>7500</v>
      </c>
      <c r="K100" s="198"/>
      <c r="L100" s="198"/>
      <c r="M100" s="198"/>
      <c r="N100" s="198"/>
      <c r="O100" s="230" t="s">
        <v>944</v>
      </c>
      <c r="P100" s="199" t="s">
        <v>908</v>
      </c>
      <c r="Q100" s="215" t="s">
        <v>763</v>
      </c>
      <c r="R100" s="195" t="s">
        <v>764</v>
      </c>
      <c r="S100" s="200"/>
      <c r="T100" s="195" t="s">
        <v>765</v>
      </c>
      <c r="U100" s="195" t="s">
        <v>765</v>
      </c>
      <c r="V100" s="195" t="s">
        <v>765</v>
      </c>
      <c r="W100" s="201"/>
      <c r="X100" s="195"/>
      <c r="Y100" s="195"/>
      <c r="Z100" s="195"/>
      <c r="AA100" s="195">
        <f t="shared" ref="AA100:AA102" si="11">roundup(AN100,-1)</f>
        <v>1500</v>
      </c>
      <c r="AB100" s="195"/>
      <c r="AC100" s="203">
        <v>0.0</v>
      </c>
      <c r="AD100" s="203">
        <v>3.0</v>
      </c>
      <c r="AE100" s="195" t="s">
        <v>949</v>
      </c>
      <c r="AF100" s="195" t="s">
        <v>767</v>
      </c>
      <c r="AG100" s="195" t="s">
        <v>776</v>
      </c>
      <c r="AH100" s="204"/>
      <c r="AI100" s="204"/>
      <c r="AJ100" s="204"/>
      <c r="AK100" s="204"/>
      <c r="AL100" s="204">
        <v>10.0</v>
      </c>
      <c r="AM100" s="205"/>
      <c r="AN100" s="205">
        <f>(AH100*'Staff Rates (Internal)'!B$2)+(AI100*'Staff Rates (Internal)'!B$3)+(AJ100*'Staff Rates (Internal)'!B$4)+(AK100*'Staff Rates (Internal)'!B$5)+(AL100*'Staff Rates (Internal)'!B$6)+(AM100*'Staff Rates (Internal)'!B$7)</f>
        <v>1500</v>
      </c>
      <c r="AO100" s="206">
        <f>(AH100*'Staff Rates (External)'!B$2)+(AI100*'Staff Rates (External)'!B$3)+(AJ100*'Staff Rates (External)'!B$4)+(AK100*'Staff Rates (External)'!B$5)+(AL100*'Staff Rates (External)'!B$6)+(AM100*'Staff Rates (External)'!B$7)</f>
        <v>3500</v>
      </c>
      <c r="AR100" s="195" t="s">
        <v>769</v>
      </c>
      <c r="AS100" s="195" t="s">
        <v>770</v>
      </c>
      <c r="AX100" s="204"/>
      <c r="AY100" s="204"/>
      <c r="AZ100" s="204"/>
      <c r="BA100" s="204"/>
      <c r="BB100" s="204"/>
      <c r="BC100" s="204"/>
      <c r="BD100" s="204"/>
      <c r="BE100" s="204"/>
      <c r="BF100" s="204"/>
      <c r="BG100" s="204"/>
      <c r="BH100" s="204"/>
      <c r="BI100" s="204"/>
      <c r="BJ100" s="204"/>
      <c r="BK100" s="204"/>
      <c r="BL100" s="204"/>
      <c r="BM100" s="204"/>
      <c r="BN100" s="204"/>
      <c r="BO100" s="204"/>
      <c r="BP100" s="204"/>
      <c r="BQ100" s="204"/>
      <c r="BR100" s="204"/>
      <c r="BS100" s="204"/>
      <c r="BT100" s="204"/>
      <c r="BU100" s="204"/>
      <c r="BV100" s="204"/>
      <c r="BW100" s="204"/>
      <c r="BX100" s="204"/>
      <c r="BY100" s="204"/>
      <c r="BZ100" s="204"/>
      <c r="CA100" s="204"/>
      <c r="CB100" s="207"/>
      <c r="CC100" s="208" t="str">
        <f t="shared" si="2"/>
        <v>MaxDiff Design &amp; Analysis</v>
      </c>
      <c r="CD100" s="208">
        <f t="shared" si="3"/>
        <v>2.2</v>
      </c>
      <c r="CE100" s="203">
        <v>3.0</v>
      </c>
      <c r="CF100" s="203">
        <v>3.0</v>
      </c>
      <c r="CG100" s="203">
        <v>2.0</v>
      </c>
      <c r="CH100" s="203">
        <v>3.0</v>
      </c>
      <c r="CI100" s="203">
        <v>2.0</v>
      </c>
      <c r="CJ100" s="203">
        <v>3.0</v>
      </c>
      <c r="CK100" s="203" t="s">
        <v>43</v>
      </c>
      <c r="CL100" s="203">
        <v>3.0</v>
      </c>
      <c r="CM100" s="209">
        <v>1.0</v>
      </c>
      <c r="CN100" s="203">
        <v>1.0</v>
      </c>
      <c r="CO100" s="203">
        <v>1.0</v>
      </c>
    </row>
    <row r="101" ht="15.75" customHeight="1">
      <c r="A101" s="185" t="s">
        <v>757</v>
      </c>
      <c r="B101" s="185" t="s">
        <v>439</v>
      </c>
      <c r="C101" s="185" t="s">
        <v>89</v>
      </c>
      <c r="D101" s="185" t="s">
        <v>58</v>
      </c>
      <c r="E101" s="195" t="s">
        <v>947</v>
      </c>
      <c r="F101" s="196" t="str">
        <f t="shared" si="8"/>
        <v>RServMaxDiff - Standard Plus</v>
      </c>
      <c r="G101" s="196" t="str">
        <f>'Ad-Hoc | Reporting &amp; Analytics'!$D51</f>
        <v>Qualtrics will provide MaxDiff design, programming, and reporting.
Such a MaxDiff will include: 
8–20 statements
No restrictions or logic within the design
Report in .ppt format with key metrics for all statements (preference share) for the overall population
Up to 4 cuts (each with 2-3 populations)
Assumptions:
Includes consultation to finalize statements if needed
MaxDiff study and report will be provided in English only.
Assumes reporting and analysis of only the MaxDiff. Supplemental reporting or analysis requires the purchase of additional reporting scope.
Estimated timeline: 5 days for design and programming, 10 days for analysis and reporting
</v>
      </c>
      <c r="H101" s="210" t="s">
        <v>891</v>
      </c>
      <c r="I101" s="190" t="s">
        <v>948</v>
      </c>
      <c r="J101" s="191">
        <f>'Ad-Hoc | Reporting &amp; Analytics'!$D52</f>
        <v>9500</v>
      </c>
      <c r="K101" s="198"/>
      <c r="L101" s="198"/>
      <c r="M101" s="198"/>
      <c r="N101" s="198"/>
      <c r="O101" s="230" t="s">
        <v>944</v>
      </c>
      <c r="P101" s="199" t="s">
        <v>908</v>
      </c>
      <c r="Q101" s="215" t="s">
        <v>763</v>
      </c>
      <c r="R101" s="195" t="s">
        <v>764</v>
      </c>
      <c r="S101" s="200"/>
      <c r="T101" s="195" t="s">
        <v>765</v>
      </c>
      <c r="U101" s="195" t="s">
        <v>765</v>
      </c>
      <c r="V101" s="195" t="s">
        <v>765</v>
      </c>
      <c r="W101" s="201"/>
      <c r="X101" s="195"/>
      <c r="Y101" s="195"/>
      <c r="Z101" s="195"/>
      <c r="AA101" s="195">
        <f t="shared" si="11"/>
        <v>1800</v>
      </c>
      <c r="AB101" s="195"/>
      <c r="AC101" s="203">
        <v>0.0</v>
      </c>
      <c r="AD101" s="203">
        <v>3.0</v>
      </c>
      <c r="AE101" s="195" t="s">
        <v>949</v>
      </c>
      <c r="AF101" s="195" t="s">
        <v>767</v>
      </c>
      <c r="AG101" s="195" t="s">
        <v>776</v>
      </c>
      <c r="AH101" s="204"/>
      <c r="AI101" s="204"/>
      <c r="AJ101" s="204"/>
      <c r="AK101" s="204"/>
      <c r="AL101" s="204">
        <v>12.0</v>
      </c>
      <c r="AM101" s="205"/>
      <c r="AN101" s="205">
        <f>(AH101*'Staff Rates (Internal)'!B$2)+(AI101*'Staff Rates (Internal)'!B$3)+(AJ101*'Staff Rates (Internal)'!B$4)+(AK101*'Staff Rates (Internal)'!B$5)+(AL101*'Staff Rates (Internal)'!B$6)+(AM101*'Staff Rates (Internal)'!B$7)</f>
        <v>1800</v>
      </c>
      <c r="AO101" s="206">
        <f>(AH101*'Staff Rates (External)'!B$2)+(AI101*'Staff Rates (External)'!B$3)+(AJ101*'Staff Rates (External)'!B$4)+(AK101*'Staff Rates (External)'!B$5)+(AL101*'Staff Rates (External)'!B$6)+(AM101*'Staff Rates (External)'!B$7)</f>
        <v>4200</v>
      </c>
      <c r="AR101" s="195" t="s">
        <v>769</v>
      </c>
      <c r="AS101" s="195" t="s">
        <v>770</v>
      </c>
      <c r="AX101" s="204"/>
      <c r="AY101" s="204"/>
      <c r="AZ101" s="204"/>
      <c r="BA101" s="204"/>
      <c r="BB101" s="204"/>
      <c r="BC101" s="204"/>
      <c r="BD101" s="204"/>
      <c r="BE101" s="204"/>
      <c r="BF101" s="204"/>
      <c r="BG101" s="204"/>
      <c r="BH101" s="204"/>
      <c r="BI101" s="204"/>
      <c r="BJ101" s="204"/>
      <c r="BK101" s="204"/>
      <c r="BL101" s="204"/>
      <c r="BM101" s="204"/>
      <c r="BN101" s="204"/>
      <c r="BO101" s="204"/>
      <c r="BP101" s="204"/>
      <c r="BQ101" s="204"/>
      <c r="BR101" s="204"/>
      <c r="BS101" s="204"/>
      <c r="BT101" s="204"/>
      <c r="BU101" s="204"/>
      <c r="BV101" s="204"/>
      <c r="BW101" s="204"/>
      <c r="BX101" s="204"/>
      <c r="BY101" s="204"/>
      <c r="BZ101" s="204"/>
      <c r="CA101" s="204"/>
      <c r="CB101" s="207"/>
      <c r="CC101" s="208" t="str">
        <f t="shared" si="2"/>
        <v>MaxDiff Design &amp; Analysis</v>
      </c>
      <c r="CD101" s="208">
        <f t="shared" si="3"/>
        <v>2.2</v>
      </c>
      <c r="CE101" s="203">
        <v>3.0</v>
      </c>
      <c r="CF101" s="203">
        <v>3.0</v>
      </c>
      <c r="CG101" s="203">
        <v>2.0</v>
      </c>
      <c r="CH101" s="203">
        <v>3.0</v>
      </c>
      <c r="CI101" s="203">
        <v>2.0</v>
      </c>
      <c r="CJ101" s="203">
        <v>3.0</v>
      </c>
      <c r="CK101" s="203" t="s">
        <v>43</v>
      </c>
      <c r="CL101" s="203">
        <v>3.0</v>
      </c>
      <c r="CM101" s="209">
        <v>1.0</v>
      </c>
      <c r="CN101" s="203">
        <v>1.0</v>
      </c>
      <c r="CO101" s="203">
        <v>1.0</v>
      </c>
    </row>
    <row r="102" ht="15.75" customHeight="1">
      <c r="A102" s="185" t="s">
        <v>757</v>
      </c>
      <c r="B102" s="185" t="s">
        <v>439</v>
      </c>
      <c r="C102" s="185" t="s">
        <v>89</v>
      </c>
      <c r="D102" s="185" t="s">
        <v>59</v>
      </c>
      <c r="E102" s="195" t="s">
        <v>947</v>
      </c>
      <c r="F102" s="196" t="str">
        <f t="shared" si="8"/>
        <v>RServMaxDiff - Advanced</v>
      </c>
      <c r="G102" s="196" t="str">
        <f>'Ad-Hoc | Reporting &amp; Analytics'!$E51</f>
        <v>MaxDiff Design and Reporting which includes:
20+ statements, includes consultation to finalize statements if needed
No restrictions or logic within the design
MaxDiff programming
PPT report with key metric (preference share) for all statements for the overall population and up to 4 cuts (each with 2-3 populations)
Assumptions:
Includes consultation to finalize statements if needed
MaxDiff study and report will be provided in English only.
Assumes reporting and analysis of only the MaxDiff. Supplemental reporting or analysis requires the purchase of additional reporting scope.
Estimated Timeline: 5 days for design and programming, 10 days for analysis and reporting
</v>
      </c>
      <c r="H102" s="210" t="s">
        <v>891</v>
      </c>
      <c r="I102" s="190" t="s">
        <v>948</v>
      </c>
      <c r="J102" s="191">
        <f>'Ad-Hoc | Reporting &amp; Analytics'!$E52</f>
        <v>11500</v>
      </c>
      <c r="K102" s="198"/>
      <c r="L102" s="198"/>
      <c r="M102" s="198"/>
      <c r="N102" s="198"/>
      <c r="O102" s="230" t="s">
        <v>944</v>
      </c>
      <c r="P102" s="199" t="s">
        <v>908</v>
      </c>
      <c r="Q102" s="215" t="s">
        <v>763</v>
      </c>
      <c r="R102" s="195" t="s">
        <v>764</v>
      </c>
      <c r="S102" s="200"/>
      <c r="T102" s="195" t="s">
        <v>765</v>
      </c>
      <c r="U102" s="195" t="s">
        <v>765</v>
      </c>
      <c r="V102" s="195" t="s">
        <v>765</v>
      </c>
      <c r="W102" s="201"/>
      <c r="X102" s="195"/>
      <c r="Y102" s="195"/>
      <c r="Z102" s="195"/>
      <c r="AA102" s="195">
        <f t="shared" si="11"/>
        <v>2100</v>
      </c>
      <c r="AB102" s="195"/>
      <c r="AC102" s="203">
        <v>0.0</v>
      </c>
      <c r="AD102" s="203">
        <v>3.0</v>
      </c>
      <c r="AE102" s="195" t="s">
        <v>949</v>
      </c>
      <c r="AF102" s="195" t="s">
        <v>767</v>
      </c>
      <c r="AG102" s="195" t="s">
        <v>776</v>
      </c>
      <c r="AH102" s="204"/>
      <c r="AI102" s="204"/>
      <c r="AJ102" s="204"/>
      <c r="AK102" s="204"/>
      <c r="AL102" s="204">
        <v>14.0</v>
      </c>
      <c r="AM102" s="205"/>
      <c r="AN102" s="205">
        <f>(AH102*'Staff Rates (Internal)'!B$2)+(AI102*'Staff Rates (Internal)'!B$3)+(AJ102*'Staff Rates (Internal)'!B$4)+(AK102*'Staff Rates (Internal)'!B$5)+(AL102*'Staff Rates (Internal)'!B$6)+(AM102*'Staff Rates (Internal)'!B$7)</f>
        <v>2100</v>
      </c>
      <c r="AO102" s="206">
        <f>(AH102*'Staff Rates (External)'!B$2)+(AI102*'Staff Rates (External)'!B$3)+(AJ102*'Staff Rates (External)'!B$4)+(AK102*'Staff Rates (External)'!B$5)+(AL102*'Staff Rates (External)'!B$6)+(AM102*'Staff Rates (External)'!B$7)</f>
        <v>4900</v>
      </c>
      <c r="AR102" s="195" t="s">
        <v>769</v>
      </c>
      <c r="AS102" s="195" t="s">
        <v>770</v>
      </c>
      <c r="AX102" s="204"/>
      <c r="AY102" s="204"/>
      <c r="AZ102" s="204"/>
      <c r="BA102" s="204"/>
      <c r="BB102" s="204"/>
      <c r="BC102" s="204"/>
      <c r="BD102" s="204"/>
      <c r="BE102" s="204"/>
      <c r="BF102" s="204"/>
      <c r="BG102" s="204"/>
      <c r="BH102" s="204"/>
      <c r="BI102" s="204"/>
      <c r="BJ102" s="204"/>
      <c r="BK102" s="204"/>
      <c r="BL102" s="204"/>
      <c r="BM102" s="204"/>
      <c r="BN102" s="204"/>
      <c r="BO102" s="204"/>
      <c r="BP102" s="204"/>
      <c r="BQ102" s="204"/>
      <c r="BR102" s="204"/>
      <c r="BS102" s="204"/>
      <c r="BT102" s="204"/>
      <c r="BU102" s="204"/>
      <c r="BV102" s="204"/>
      <c r="BW102" s="204"/>
      <c r="BX102" s="204"/>
      <c r="BY102" s="204"/>
      <c r="BZ102" s="204"/>
      <c r="CA102" s="204"/>
      <c r="CB102" s="207"/>
      <c r="CC102" s="208" t="str">
        <f t="shared" si="2"/>
        <v>MaxDiff Design &amp; Analysis</v>
      </c>
      <c r="CD102" s="208">
        <f t="shared" si="3"/>
        <v>2.2</v>
      </c>
      <c r="CE102" s="203">
        <v>3.0</v>
      </c>
      <c r="CF102" s="203">
        <v>3.0</v>
      </c>
      <c r="CG102" s="203">
        <v>2.0</v>
      </c>
      <c r="CH102" s="203">
        <v>3.0</v>
      </c>
      <c r="CI102" s="203">
        <v>2.0</v>
      </c>
      <c r="CJ102" s="203">
        <v>3.0</v>
      </c>
      <c r="CK102" s="203" t="s">
        <v>43</v>
      </c>
      <c r="CL102" s="203">
        <v>3.0</v>
      </c>
      <c r="CM102" s="209">
        <v>1.0</v>
      </c>
      <c r="CN102" s="203">
        <v>1.0</v>
      </c>
      <c r="CO102" s="203">
        <v>1.0</v>
      </c>
    </row>
    <row r="103" ht="15.75" customHeight="1">
      <c r="A103" s="185" t="s">
        <v>757</v>
      </c>
      <c r="B103" s="185" t="s">
        <v>439</v>
      </c>
      <c r="C103" s="185" t="s">
        <v>89</v>
      </c>
      <c r="D103" s="185" t="s">
        <v>60</v>
      </c>
      <c r="E103" s="195" t="s">
        <v>947</v>
      </c>
      <c r="F103" s="196" t="str">
        <f t="shared" si="8"/>
        <v>RServMaxDiff - Custom</v>
      </c>
      <c r="G103" s="196" t="str">
        <f>'Ad-Hoc | Reporting &amp; Analytics'!$F51</f>
        <v>Custom quote required if any of the following are required:
5+ cuts or complex cuts (+$500 per additional)
Design restrictions or logic (+$1000-$2000)
Custom HTML incl. hoverover or images (+$1000)
Multiple MaxDiffs in the same survey
Translations/localizations added to the MaxDiff
Custom reporting or 5+ cuts (e.g., reporting on groups of statements, custom scaling, delivery of raw data in client supplied format)
Custom metrics (metric other than preference share) requires in reporting</v>
      </c>
      <c r="H103" s="197"/>
      <c r="I103" s="191"/>
      <c r="J103" s="191" t="str">
        <f>'Ad-Hoc | Reporting &amp; Analytics'!$F52</f>
        <v>Custom Quote</v>
      </c>
      <c r="K103" s="198"/>
      <c r="L103" s="198"/>
      <c r="M103" s="198"/>
      <c r="N103" s="198"/>
      <c r="O103" s="230" t="s">
        <v>944</v>
      </c>
      <c r="P103" s="199" t="s">
        <v>908</v>
      </c>
      <c r="Q103" s="215" t="s">
        <v>763</v>
      </c>
      <c r="R103" s="195" t="s">
        <v>764</v>
      </c>
      <c r="S103" s="200"/>
      <c r="T103" s="195" t="s">
        <v>765</v>
      </c>
      <c r="U103" s="195" t="s">
        <v>765</v>
      </c>
      <c r="V103" s="195" t="s">
        <v>765</v>
      </c>
      <c r="W103" s="201"/>
      <c r="X103" s="195"/>
      <c r="Y103" s="195"/>
      <c r="Z103" s="195"/>
      <c r="AA103" s="195"/>
      <c r="AB103" s="195"/>
      <c r="AC103" s="203">
        <v>0.0</v>
      </c>
      <c r="AD103" s="203">
        <v>3.0</v>
      </c>
      <c r="AE103" s="195" t="s">
        <v>949</v>
      </c>
      <c r="AF103" s="195" t="s">
        <v>767</v>
      </c>
      <c r="AG103" s="195" t="s">
        <v>776</v>
      </c>
      <c r="AH103" s="204"/>
      <c r="AI103" s="204"/>
      <c r="AJ103" s="204"/>
      <c r="AK103" s="204"/>
      <c r="AL103" s="204"/>
      <c r="AM103" s="205"/>
      <c r="AN103" s="205">
        <f>(AH103*'Staff Rates (Internal)'!B$2)+(AI103*'Staff Rates (Internal)'!B$3)+(AJ103*'Staff Rates (Internal)'!B$4)+(AK103*'Staff Rates (Internal)'!B$5)+(AL103*'Staff Rates (Internal)'!B$6)+(AM103*'Staff Rates (Internal)'!B$7)</f>
        <v>0</v>
      </c>
      <c r="AO103" s="206">
        <f>(AH103*'Staff Rates (External)'!B$2)+(AI103*'Staff Rates (External)'!B$3)+(AJ103*'Staff Rates (External)'!B$4)+(AK103*'Staff Rates (External)'!B$5)+(AL103*'Staff Rates (External)'!B$6)+(AM103*'Staff Rates (External)'!B$7)</f>
        <v>0</v>
      </c>
      <c r="AR103" s="195" t="s">
        <v>769</v>
      </c>
      <c r="AS103" s="195" t="s">
        <v>770</v>
      </c>
      <c r="AX103" s="204"/>
      <c r="AY103" s="204"/>
      <c r="AZ103" s="204"/>
      <c r="BA103" s="204"/>
      <c r="BB103" s="204"/>
      <c r="BC103" s="204"/>
      <c r="BD103" s="204"/>
      <c r="BE103" s="204"/>
      <c r="BF103" s="204"/>
      <c r="BG103" s="204"/>
      <c r="BH103" s="204"/>
      <c r="BI103" s="204"/>
      <c r="BJ103" s="204"/>
      <c r="BK103" s="204"/>
      <c r="BL103" s="204"/>
      <c r="BM103" s="204"/>
      <c r="BN103" s="204"/>
      <c r="BO103" s="204"/>
      <c r="BP103" s="204"/>
      <c r="BQ103" s="204"/>
      <c r="BR103" s="204"/>
      <c r="BS103" s="204"/>
      <c r="BT103" s="204"/>
      <c r="BU103" s="204"/>
      <c r="BV103" s="204"/>
      <c r="BW103" s="204"/>
      <c r="BX103" s="204"/>
      <c r="BY103" s="204"/>
      <c r="BZ103" s="204"/>
      <c r="CA103" s="204"/>
      <c r="CB103" s="207"/>
      <c r="CC103" s="208" t="str">
        <f t="shared" si="2"/>
        <v>MaxDiff Design &amp; Analysis</v>
      </c>
      <c r="CD103" s="208">
        <f t="shared" si="3"/>
        <v>1.8</v>
      </c>
      <c r="CE103" s="203">
        <v>1.0</v>
      </c>
      <c r="CF103" s="203">
        <v>1.0</v>
      </c>
      <c r="CG103" s="203">
        <v>2.0</v>
      </c>
      <c r="CH103" s="203">
        <v>3.0</v>
      </c>
      <c r="CI103" s="203">
        <v>2.0</v>
      </c>
      <c r="CJ103" s="203">
        <v>3.0</v>
      </c>
      <c r="CK103" s="203" t="s">
        <v>43</v>
      </c>
      <c r="CL103" s="203">
        <v>3.0</v>
      </c>
      <c r="CM103" s="209">
        <v>1.0</v>
      </c>
      <c r="CN103" s="203">
        <v>1.0</v>
      </c>
      <c r="CO103" s="203">
        <v>1.0</v>
      </c>
    </row>
    <row r="104" ht="15.75" customHeight="1">
      <c r="A104" s="185" t="s">
        <v>757</v>
      </c>
      <c r="B104" s="185" t="s">
        <v>439</v>
      </c>
      <c r="C104" s="185" t="s">
        <v>90</v>
      </c>
      <c r="D104" s="185" t="s">
        <v>56</v>
      </c>
      <c r="E104" s="195" t="s">
        <v>950</v>
      </c>
      <c r="F104" s="196" t="str">
        <f t="shared" si="8"/>
        <v>RServTURF - Standard</v>
      </c>
      <c r="G104" s="196" t="str">
        <f>'Ad-Hoc | Reporting &amp; Analytics'!$C55</f>
        <v>TURF Results added into a MaxDiff or Conjoint Report</v>
      </c>
      <c r="H104" s="197"/>
      <c r="I104" s="191"/>
      <c r="J104" s="191">
        <f>'Ad-Hoc | Reporting &amp; Analytics'!$C56</f>
        <v>2000</v>
      </c>
      <c r="K104" s="198"/>
      <c r="L104" s="198"/>
      <c r="M104" s="198"/>
      <c r="N104" s="198"/>
      <c r="O104" s="230" t="s">
        <v>944</v>
      </c>
      <c r="P104" s="199" t="s">
        <v>908</v>
      </c>
      <c r="Q104" s="215" t="s">
        <v>763</v>
      </c>
      <c r="R104" s="195" t="s">
        <v>764</v>
      </c>
      <c r="S104" s="200"/>
      <c r="T104" s="195" t="s">
        <v>765</v>
      </c>
      <c r="U104" s="195" t="s">
        <v>765</v>
      </c>
      <c r="V104" s="195" t="s">
        <v>765</v>
      </c>
      <c r="W104" s="201"/>
      <c r="X104" s="195"/>
      <c r="Y104" s="195"/>
      <c r="Z104" s="195"/>
      <c r="AA104" s="195"/>
      <c r="AB104" s="195"/>
      <c r="AC104" s="203">
        <v>0.0</v>
      </c>
      <c r="AD104" s="203">
        <v>3.0</v>
      </c>
      <c r="AE104" s="195" t="s">
        <v>951</v>
      </c>
      <c r="AF104" s="195" t="s">
        <v>767</v>
      </c>
      <c r="AG104" s="195" t="s">
        <v>776</v>
      </c>
      <c r="AH104" s="204"/>
      <c r="AI104" s="204"/>
      <c r="AJ104" s="204"/>
      <c r="AK104" s="204"/>
      <c r="AL104" s="204"/>
      <c r="AM104" s="205"/>
      <c r="AN104" s="205">
        <f>(AH104*'Staff Rates (Internal)'!B$2)+(AI104*'Staff Rates (Internal)'!B$3)+(AJ104*'Staff Rates (Internal)'!B$4)+(AK104*'Staff Rates (Internal)'!B$5)+(AL104*'Staff Rates (Internal)'!B$6)+(AM104*'Staff Rates (Internal)'!B$7)</f>
        <v>0</v>
      </c>
      <c r="AO104" s="206">
        <f>(AH104*'Staff Rates (External)'!B$2)+(AI104*'Staff Rates (External)'!B$3)+(AJ104*'Staff Rates (External)'!B$4)+(AK104*'Staff Rates (External)'!B$5)+(AL104*'Staff Rates (External)'!B$6)+(AM104*'Staff Rates (External)'!B$7)</f>
        <v>0</v>
      </c>
      <c r="AR104" s="195" t="s">
        <v>769</v>
      </c>
      <c r="AS104" s="195" t="s">
        <v>770</v>
      </c>
      <c r="AX104" s="204"/>
      <c r="AY104" s="204"/>
      <c r="AZ104" s="204"/>
      <c r="BA104" s="204"/>
      <c r="BB104" s="204"/>
      <c r="BC104" s="204"/>
      <c r="BD104" s="204"/>
      <c r="BE104" s="204"/>
      <c r="BF104" s="204"/>
      <c r="BG104" s="204"/>
      <c r="BH104" s="204"/>
      <c r="BI104" s="204"/>
      <c r="BJ104" s="204"/>
      <c r="BK104" s="204"/>
      <c r="BL104" s="204"/>
      <c r="BM104" s="204"/>
      <c r="BN104" s="204"/>
      <c r="BO104" s="204"/>
      <c r="BP104" s="204"/>
      <c r="BQ104" s="204"/>
      <c r="BR104" s="204"/>
      <c r="BS104" s="204"/>
      <c r="BT104" s="204"/>
      <c r="BU104" s="204"/>
      <c r="BV104" s="204"/>
      <c r="BW104" s="204"/>
      <c r="BX104" s="204"/>
      <c r="BY104" s="204"/>
      <c r="BZ104" s="204"/>
      <c r="CA104" s="204"/>
      <c r="CB104" s="207"/>
      <c r="CC104" s="208" t="str">
        <f t="shared" si="2"/>
        <v>TURF Analysis &amp; Tool</v>
      </c>
      <c r="CD104" s="208">
        <f t="shared" si="3"/>
        <v>2</v>
      </c>
      <c r="CE104" s="203">
        <v>3.0</v>
      </c>
      <c r="CF104" s="203">
        <v>1.0</v>
      </c>
      <c r="CG104" s="203">
        <v>2.0</v>
      </c>
      <c r="CH104" s="203">
        <v>3.0</v>
      </c>
      <c r="CI104" s="203">
        <v>2.0</v>
      </c>
      <c r="CJ104" s="203">
        <v>3.0</v>
      </c>
      <c r="CK104" s="203" t="s">
        <v>43</v>
      </c>
      <c r="CL104" s="203">
        <v>3.0</v>
      </c>
      <c r="CM104" s="209">
        <v>1.0</v>
      </c>
      <c r="CN104" s="203">
        <v>1.0</v>
      </c>
      <c r="CO104" s="203">
        <v>1.0</v>
      </c>
    </row>
    <row r="105" ht="15.75" customHeight="1">
      <c r="A105" s="185" t="s">
        <v>757</v>
      </c>
      <c r="B105" s="185" t="s">
        <v>439</v>
      </c>
      <c r="C105" s="185" t="s">
        <v>90</v>
      </c>
      <c r="D105" s="185" t="s">
        <v>58</v>
      </c>
      <c r="E105" s="195" t="s">
        <v>950</v>
      </c>
      <c r="F105" s="196" t="str">
        <f t="shared" si="8"/>
        <v>RServTURF - Standard Plus</v>
      </c>
      <c r="G105" s="196" t="str">
        <f>'Ad-Hoc | Reporting &amp; Analytics'!$D55</f>
        <v>TURF Results added into MaxDiff or Conjoint Report and Creation of an interactive TURF Simulator</v>
      </c>
      <c r="H105" s="197"/>
      <c r="I105" s="191"/>
      <c r="J105" s="191">
        <f>'Ad-Hoc | Reporting &amp; Analytics'!$D56</f>
        <v>3000</v>
      </c>
      <c r="K105" s="198"/>
      <c r="L105" s="198"/>
      <c r="M105" s="198"/>
      <c r="N105" s="198"/>
      <c r="O105" s="230" t="s">
        <v>944</v>
      </c>
      <c r="P105" s="199" t="s">
        <v>908</v>
      </c>
      <c r="Q105" s="215" t="s">
        <v>763</v>
      </c>
      <c r="R105" s="195" t="s">
        <v>764</v>
      </c>
      <c r="S105" s="200"/>
      <c r="T105" s="195" t="s">
        <v>765</v>
      </c>
      <c r="U105" s="195" t="s">
        <v>765</v>
      </c>
      <c r="V105" s="195" t="s">
        <v>765</v>
      </c>
      <c r="W105" s="201"/>
      <c r="X105" s="195"/>
      <c r="Y105" s="195"/>
      <c r="Z105" s="195"/>
      <c r="AA105" s="195"/>
      <c r="AB105" s="195"/>
      <c r="AC105" s="203">
        <v>0.0</v>
      </c>
      <c r="AD105" s="203">
        <v>3.0</v>
      </c>
      <c r="AE105" s="195" t="s">
        <v>951</v>
      </c>
      <c r="AF105" s="195" t="s">
        <v>767</v>
      </c>
      <c r="AG105" s="195" t="s">
        <v>776</v>
      </c>
      <c r="AH105" s="204"/>
      <c r="AI105" s="204"/>
      <c r="AJ105" s="204"/>
      <c r="AK105" s="204"/>
      <c r="AL105" s="204"/>
      <c r="AM105" s="205"/>
      <c r="AN105" s="205">
        <f>(AH105*'Staff Rates (Internal)'!B$2)+(AI105*'Staff Rates (Internal)'!B$3)+(AJ105*'Staff Rates (Internal)'!B$4)+(AK105*'Staff Rates (Internal)'!B$5)+(AL105*'Staff Rates (Internal)'!B$6)+(AM105*'Staff Rates (Internal)'!B$7)</f>
        <v>0</v>
      </c>
      <c r="AO105" s="206">
        <f>(AH105*'Staff Rates (External)'!B$2)+(AI105*'Staff Rates (External)'!B$3)+(AJ105*'Staff Rates (External)'!B$4)+(AK105*'Staff Rates (External)'!B$5)+(AL105*'Staff Rates (External)'!B$6)+(AM105*'Staff Rates (External)'!B$7)</f>
        <v>0</v>
      </c>
      <c r="AR105" s="195" t="s">
        <v>769</v>
      </c>
      <c r="AS105" s="195" t="s">
        <v>770</v>
      </c>
      <c r="AX105" s="204"/>
      <c r="AY105" s="204"/>
      <c r="AZ105" s="204"/>
      <c r="BA105" s="204"/>
      <c r="BB105" s="204"/>
      <c r="BC105" s="204"/>
      <c r="BD105" s="204"/>
      <c r="BE105" s="204"/>
      <c r="BF105" s="204"/>
      <c r="BG105" s="204"/>
      <c r="BH105" s="204"/>
      <c r="BI105" s="204"/>
      <c r="BJ105" s="204"/>
      <c r="BK105" s="204"/>
      <c r="BL105" s="204"/>
      <c r="BM105" s="204"/>
      <c r="BN105" s="204"/>
      <c r="BO105" s="204"/>
      <c r="BP105" s="204"/>
      <c r="BQ105" s="204"/>
      <c r="BR105" s="204"/>
      <c r="BS105" s="204"/>
      <c r="BT105" s="204"/>
      <c r="BU105" s="204"/>
      <c r="BV105" s="204"/>
      <c r="BW105" s="204"/>
      <c r="BX105" s="204"/>
      <c r="BY105" s="204"/>
      <c r="BZ105" s="204"/>
      <c r="CA105" s="204"/>
      <c r="CB105" s="207"/>
      <c r="CC105" s="208" t="str">
        <f t="shared" si="2"/>
        <v>TURF Analysis &amp; Tool</v>
      </c>
      <c r="CD105" s="208">
        <f t="shared" si="3"/>
        <v>2</v>
      </c>
      <c r="CE105" s="203">
        <v>3.0</v>
      </c>
      <c r="CF105" s="203">
        <v>1.0</v>
      </c>
      <c r="CG105" s="203">
        <v>2.0</v>
      </c>
      <c r="CH105" s="203">
        <v>3.0</v>
      </c>
      <c r="CI105" s="203">
        <v>2.0</v>
      </c>
      <c r="CJ105" s="203">
        <v>3.0</v>
      </c>
      <c r="CK105" s="203" t="s">
        <v>43</v>
      </c>
      <c r="CL105" s="203">
        <v>3.0</v>
      </c>
      <c r="CM105" s="209">
        <v>1.0</v>
      </c>
      <c r="CN105" s="203">
        <v>1.0</v>
      </c>
      <c r="CO105" s="203">
        <v>1.0</v>
      </c>
    </row>
    <row r="106" ht="15.75" customHeight="1">
      <c r="A106" s="185" t="s">
        <v>757</v>
      </c>
      <c r="B106" s="185" t="s">
        <v>439</v>
      </c>
      <c r="C106" s="185" t="s">
        <v>91</v>
      </c>
      <c r="D106" s="185" t="s">
        <v>56</v>
      </c>
      <c r="E106" s="195" t="s">
        <v>952</v>
      </c>
      <c r="F106" s="196" t="str">
        <f t="shared" si="8"/>
        <v>RServKeyDriver - Standard</v>
      </c>
      <c r="G106" s="196" t="str">
        <f>'Ad-Hoc | Reporting &amp; Analytics'!$C59</f>
        <v>OLS or Logit regression analysis for 1 DV/Outcome</v>
      </c>
      <c r="H106" s="197"/>
      <c r="I106" s="191"/>
      <c r="J106" s="191">
        <f>'Ad-Hoc | Reporting &amp; Analytics'!$C60</f>
        <v>3000</v>
      </c>
      <c r="K106" s="198"/>
      <c r="L106" s="198"/>
      <c r="M106" s="198"/>
      <c r="N106" s="198"/>
      <c r="O106" s="198" t="s">
        <v>944</v>
      </c>
      <c r="P106" s="199" t="s">
        <v>908</v>
      </c>
      <c r="Q106" s="215" t="s">
        <v>763</v>
      </c>
      <c r="R106" s="195" t="s">
        <v>764</v>
      </c>
      <c r="S106" s="200"/>
      <c r="T106" s="195" t="s">
        <v>765</v>
      </c>
      <c r="U106" s="195" t="s">
        <v>765</v>
      </c>
      <c r="V106" s="195" t="s">
        <v>765</v>
      </c>
      <c r="W106" s="201"/>
      <c r="X106" s="195"/>
      <c r="Y106" s="195"/>
      <c r="Z106" s="195"/>
      <c r="AA106" s="195"/>
      <c r="AB106" s="195"/>
      <c r="AC106" s="203">
        <v>0.0</v>
      </c>
      <c r="AD106" s="203">
        <v>3.0</v>
      </c>
      <c r="AE106" s="195" t="s">
        <v>953</v>
      </c>
      <c r="AF106" s="195" t="s">
        <v>767</v>
      </c>
      <c r="AG106" s="195" t="s">
        <v>776</v>
      </c>
      <c r="AH106" s="204"/>
      <c r="AI106" s="204"/>
      <c r="AJ106" s="204"/>
      <c r="AK106" s="204"/>
      <c r="AL106" s="204"/>
      <c r="AM106" s="205"/>
      <c r="AN106" s="205">
        <f>(AH106*'Staff Rates (Internal)'!B$2)+(AI106*'Staff Rates (Internal)'!B$3)+(AJ106*'Staff Rates (Internal)'!B$4)+(AK106*'Staff Rates (Internal)'!B$5)+(AL106*'Staff Rates (Internal)'!B$6)+(AM106*'Staff Rates (Internal)'!B$7)</f>
        <v>0</v>
      </c>
      <c r="AO106" s="206">
        <f>(AH106*'Staff Rates (External)'!B$2)+(AI106*'Staff Rates (External)'!B$3)+(AJ106*'Staff Rates (External)'!B$4)+(AK106*'Staff Rates (External)'!B$5)+(AL106*'Staff Rates (External)'!B$6)+(AM106*'Staff Rates (External)'!B$7)</f>
        <v>0</v>
      </c>
      <c r="AR106" s="195" t="s">
        <v>769</v>
      </c>
      <c r="AS106" s="195" t="s">
        <v>770</v>
      </c>
      <c r="AX106" s="204" t="s">
        <v>783</v>
      </c>
      <c r="AY106" s="204" t="s">
        <v>783</v>
      </c>
      <c r="AZ106" s="204" t="s">
        <v>765</v>
      </c>
      <c r="BA106" s="204"/>
      <c r="BB106" s="204"/>
      <c r="BC106" s="204"/>
      <c r="BD106" s="204"/>
      <c r="BE106" s="204"/>
      <c r="BF106" s="204"/>
      <c r="BG106" s="204"/>
      <c r="BH106" s="204"/>
      <c r="BI106" s="204"/>
      <c r="BJ106" s="204" t="s">
        <v>765</v>
      </c>
      <c r="BK106" s="204" t="s">
        <v>765</v>
      </c>
      <c r="BL106" s="204" t="s">
        <v>765</v>
      </c>
      <c r="BM106" s="204"/>
      <c r="BN106" s="204"/>
      <c r="BO106" s="204"/>
      <c r="BP106" s="204"/>
      <c r="BQ106" s="204"/>
      <c r="BR106" s="204"/>
      <c r="BS106" s="204"/>
      <c r="BT106" s="204"/>
      <c r="BU106" s="204"/>
      <c r="BV106" s="204"/>
      <c r="BW106" s="204"/>
      <c r="BX106" s="204"/>
      <c r="BY106" s="204"/>
      <c r="BZ106" s="204"/>
      <c r="CA106" s="204"/>
      <c r="CB106" s="207"/>
      <c r="CC106" s="208" t="str">
        <f t="shared" si="2"/>
        <v>Regression Analysis</v>
      </c>
      <c r="CD106" s="208">
        <f t="shared" si="3"/>
        <v>1.909090909</v>
      </c>
      <c r="CE106" s="203">
        <v>3.0</v>
      </c>
      <c r="CF106" s="203">
        <v>1.0</v>
      </c>
      <c r="CG106" s="203">
        <v>2.0</v>
      </c>
      <c r="CH106" s="203">
        <v>2.0</v>
      </c>
      <c r="CI106" s="203">
        <v>2.0</v>
      </c>
      <c r="CJ106" s="203">
        <v>3.0</v>
      </c>
      <c r="CK106" s="203">
        <v>2.0</v>
      </c>
      <c r="CL106" s="203">
        <v>3.0</v>
      </c>
      <c r="CM106" s="209">
        <v>1.0</v>
      </c>
      <c r="CN106" s="203">
        <v>1.0</v>
      </c>
      <c r="CO106" s="203">
        <v>1.0</v>
      </c>
    </row>
    <row r="107" ht="15.75" customHeight="1">
      <c r="A107" s="185" t="s">
        <v>757</v>
      </c>
      <c r="B107" s="185" t="s">
        <v>439</v>
      </c>
      <c r="C107" s="185" t="s">
        <v>91</v>
      </c>
      <c r="D107" s="185" t="s">
        <v>60</v>
      </c>
      <c r="E107" s="195" t="s">
        <v>952</v>
      </c>
      <c r="F107" s="196" t="str">
        <f t="shared" si="8"/>
        <v>RServKeyDriver - Custom</v>
      </c>
      <c r="G107" s="196" t="str">
        <f>'Ad-Hoc | Reporting &amp; Analytics'!$F59</f>
        <v>More advanced OLS or Logit regressions as well as SEM, Heirarchical, or more advanced regression analysis.</v>
      </c>
      <c r="H107" s="197"/>
      <c r="I107" s="191"/>
      <c r="J107" s="191" t="str">
        <f>'Ad-Hoc | Reporting &amp; Analytics'!$F60</f>
        <v>Custom Quote</v>
      </c>
      <c r="K107" s="198"/>
      <c r="L107" s="198"/>
      <c r="M107" s="198"/>
      <c r="N107" s="198"/>
      <c r="O107" s="198" t="s">
        <v>944</v>
      </c>
      <c r="P107" s="199" t="s">
        <v>908</v>
      </c>
      <c r="Q107" s="215" t="s">
        <v>763</v>
      </c>
      <c r="R107" s="195" t="s">
        <v>764</v>
      </c>
      <c r="S107" s="200"/>
      <c r="T107" s="195" t="s">
        <v>765</v>
      </c>
      <c r="U107" s="195" t="s">
        <v>765</v>
      </c>
      <c r="V107" s="195" t="s">
        <v>765</v>
      </c>
      <c r="W107" s="201"/>
      <c r="X107" s="195"/>
      <c r="Y107" s="195"/>
      <c r="Z107" s="195"/>
      <c r="AA107" s="195"/>
      <c r="AB107" s="195"/>
      <c r="AC107" s="203">
        <v>0.0</v>
      </c>
      <c r="AD107" s="203">
        <v>3.0</v>
      </c>
      <c r="AE107" s="195" t="s">
        <v>953</v>
      </c>
      <c r="AF107" s="195" t="s">
        <v>767</v>
      </c>
      <c r="AG107" s="195" t="s">
        <v>776</v>
      </c>
      <c r="AH107" s="204"/>
      <c r="AI107" s="204"/>
      <c r="AJ107" s="204"/>
      <c r="AK107" s="204"/>
      <c r="AL107" s="204"/>
      <c r="AM107" s="205"/>
      <c r="AN107" s="205">
        <f>(AH107*'Staff Rates (Internal)'!B$2)+(AI107*'Staff Rates (Internal)'!B$3)+(AJ107*'Staff Rates (Internal)'!B$4)+(AK107*'Staff Rates (Internal)'!B$5)+(AL107*'Staff Rates (Internal)'!B$6)+(AM107*'Staff Rates (Internal)'!B$7)</f>
        <v>0</v>
      </c>
      <c r="AO107" s="206">
        <f>(AH107*'Staff Rates (External)'!B$2)+(AI107*'Staff Rates (External)'!B$3)+(AJ107*'Staff Rates (External)'!B$4)+(AK107*'Staff Rates (External)'!B$5)+(AL107*'Staff Rates (External)'!B$6)+(AM107*'Staff Rates (External)'!B$7)</f>
        <v>0</v>
      </c>
      <c r="AR107" s="195" t="s">
        <v>769</v>
      </c>
      <c r="AS107" s="195" t="s">
        <v>770</v>
      </c>
      <c r="AX107" s="204"/>
      <c r="AY107" s="204"/>
      <c r="AZ107" s="204"/>
      <c r="BA107" s="204"/>
      <c r="BB107" s="204"/>
      <c r="BC107" s="204"/>
      <c r="BD107" s="204"/>
      <c r="BE107" s="204"/>
      <c r="BF107" s="204"/>
      <c r="BG107" s="204"/>
      <c r="BH107" s="204"/>
      <c r="BI107" s="204"/>
      <c r="BJ107" s="204"/>
      <c r="BK107" s="204"/>
      <c r="BL107" s="204"/>
      <c r="BM107" s="204"/>
      <c r="BN107" s="204"/>
      <c r="BO107" s="204"/>
      <c r="BP107" s="204"/>
      <c r="BQ107" s="204"/>
      <c r="BR107" s="204"/>
      <c r="BS107" s="204"/>
      <c r="BT107" s="204"/>
      <c r="BU107" s="204"/>
      <c r="BV107" s="204"/>
      <c r="BW107" s="204"/>
      <c r="BX107" s="204"/>
      <c r="BY107" s="204"/>
      <c r="BZ107" s="204"/>
      <c r="CA107" s="204"/>
      <c r="CB107" s="207"/>
      <c r="CC107" s="208" t="str">
        <f t="shared" si="2"/>
        <v>Regression Analysis</v>
      </c>
      <c r="CD107" s="208">
        <f t="shared" si="3"/>
        <v>1.727272727</v>
      </c>
      <c r="CE107" s="203">
        <v>1.0</v>
      </c>
      <c r="CF107" s="203">
        <v>1.0</v>
      </c>
      <c r="CG107" s="203">
        <v>2.0</v>
      </c>
      <c r="CH107" s="203">
        <v>2.0</v>
      </c>
      <c r="CI107" s="203">
        <v>2.0</v>
      </c>
      <c r="CJ107" s="203">
        <v>3.0</v>
      </c>
      <c r="CK107" s="203">
        <v>2.0</v>
      </c>
      <c r="CL107" s="203">
        <v>3.0</v>
      </c>
      <c r="CM107" s="209">
        <v>1.0</v>
      </c>
      <c r="CN107" s="203">
        <v>1.0</v>
      </c>
      <c r="CO107" s="203">
        <v>1.0</v>
      </c>
    </row>
    <row r="108" ht="15.75" customHeight="1">
      <c r="A108" s="185" t="s">
        <v>757</v>
      </c>
      <c r="B108" s="185" t="s">
        <v>439</v>
      </c>
      <c r="C108" s="185" t="s">
        <v>92</v>
      </c>
      <c r="D108" s="185" t="s">
        <v>56</v>
      </c>
      <c r="E108" s="195" t="s">
        <v>954</v>
      </c>
      <c r="F108" s="196" t="str">
        <f t="shared" si="8"/>
        <v>RServSegAnalysis - Standard</v>
      </c>
      <c r="G108" s="196" t="str">
        <f>'Ad-Hoc | Reporting &amp; Analytics'!$C63</f>
        <v>Clustering analysis and consultation based on a select number of psychographic, demographic, or behavioral variables. Includes a review of the segments with the client before reporting begins.</v>
      </c>
      <c r="H108" s="197"/>
      <c r="I108" s="191"/>
      <c r="J108" s="191">
        <f>'Ad-Hoc | Reporting &amp; Analytics'!$C64</f>
        <v>15000</v>
      </c>
      <c r="K108" s="198"/>
      <c r="L108" s="198"/>
      <c r="M108" s="198"/>
      <c r="N108" s="198"/>
      <c r="O108" s="198" t="s">
        <v>944</v>
      </c>
      <c r="P108" s="199" t="s">
        <v>908</v>
      </c>
      <c r="Q108" s="215" t="s">
        <v>763</v>
      </c>
      <c r="R108" s="195" t="s">
        <v>764</v>
      </c>
      <c r="S108" s="200"/>
      <c r="T108" s="195" t="s">
        <v>765</v>
      </c>
      <c r="U108" s="195" t="s">
        <v>765</v>
      </c>
      <c r="V108" s="195" t="s">
        <v>765</v>
      </c>
      <c r="W108" s="201"/>
      <c r="X108" s="195"/>
      <c r="Y108" s="195"/>
      <c r="Z108" s="195"/>
      <c r="AA108" s="195"/>
      <c r="AB108" s="195"/>
      <c r="AC108" s="203">
        <v>0.0</v>
      </c>
      <c r="AD108" s="203">
        <v>3.0</v>
      </c>
      <c r="AE108" s="195" t="s">
        <v>955</v>
      </c>
      <c r="AF108" s="195" t="s">
        <v>767</v>
      </c>
      <c r="AG108" s="195" t="s">
        <v>776</v>
      </c>
      <c r="AH108" s="204"/>
      <c r="AI108" s="204"/>
      <c r="AJ108" s="204"/>
      <c r="AK108" s="204"/>
      <c r="AL108" s="204"/>
      <c r="AM108" s="205"/>
      <c r="AN108" s="205">
        <f>(AH108*'Staff Rates (Internal)'!B$2)+(AI108*'Staff Rates (Internal)'!B$3)+(AJ108*'Staff Rates (Internal)'!B$4)+(AK108*'Staff Rates (Internal)'!B$5)+(AL108*'Staff Rates (Internal)'!B$6)+(AM108*'Staff Rates (Internal)'!B$7)</f>
        <v>0</v>
      </c>
      <c r="AO108" s="206">
        <f>(AH108*'Staff Rates (External)'!B$2)+(AI108*'Staff Rates (External)'!B$3)+(AJ108*'Staff Rates (External)'!B$4)+(AK108*'Staff Rates (External)'!B$5)+(AL108*'Staff Rates (External)'!B$6)+(AM108*'Staff Rates (External)'!B$7)</f>
        <v>0</v>
      </c>
      <c r="AR108" s="195" t="s">
        <v>769</v>
      </c>
      <c r="AS108" s="195" t="s">
        <v>770</v>
      </c>
      <c r="AX108" s="204"/>
      <c r="AY108" s="204"/>
      <c r="AZ108" s="204"/>
      <c r="BA108" s="204"/>
      <c r="BB108" s="204"/>
      <c r="BC108" s="204"/>
      <c r="BD108" s="204"/>
      <c r="BE108" s="204"/>
      <c r="BF108" s="204"/>
      <c r="BG108" s="204"/>
      <c r="BH108" s="204"/>
      <c r="BI108" s="204"/>
      <c r="BJ108" s="204"/>
      <c r="BK108" s="204"/>
      <c r="BL108" s="204"/>
      <c r="BM108" s="204"/>
      <c r="BN108" s="204"/>
      <c r="BO108" s="204"/>
      <c r="BP108" s="204"/>
      <c r="BQ108" s="204"/>
      <c r="BR108" s="204"/>
      <c r="BS108" s="204"/>
      <c r="BT108" s="204"/>
      <c r="BU108" s="204"/>
      <c r="BV108" s="204"/>
      <c r="BW108" s="204"/>
      <c r="BX108" s="204"/>
      <c r="BY108" s="204"/>
      <c r="BZ108" s="204"/>
      <c r="CA108" s="204"/>
      <c r="CB108" s="207"/>
      <c r="CC108" s="208" t="str">
        <f t="shared" si="2"/>
        <v>Clustering Analysis</v>
      </c>
      <c r="CD108" s="208">
        <f t="shared" si="3"/>
        <v>1.909090909</v>
      </c>
      <c r="CE108" s="203">
        <v>3.0</v>
      </c>
      <c r="CF108" s="203">
        <v>1.0</v>
      </c>
      <c r="CG108" s="203">
        <v>2.0</v>
      </c>
      <c r="CH108" s="203">
        <v>2.0</v>
      </c>
      <c r="CI108" s="203">
        <v>2.0</v>
      </c>
      <c r="CJ108" s="203">
        <v>3.0</v>
      </c>
      <c r="CK108" s="203">
        <v>2.0</v>
      </c>
      <c r="CL108" s="203">
        <v>3.0</v>
      </c>
      <c r="CM108" s="209">
        <v>1.0</v>
      </c>
      <c r="CN108" s="203">
        <v>1.0</v>
      </c>
      <c r="CO108" s="203">
        <v>1.0</v>
      </c>
    </row>
    <row r="109" ht="15.75" customHeight="1">
      <c r="A109" s="185" t="s">
        <v>757</v>
      </c>
      <c r="B109" s="185" t="s">
        <v>439</v>
      </c>
      <c r="C109" s="185" t="s">
        <v>92</v>
      </c>
      <c r="D109" s="185" t="s">
        <v>60</v>
      </c>
      <c r="E109" s="195" t="s">
        <v>954</v>
      </c>
      <c r="F109" s="196" t="str">
        <f t="shared" si="8"/>
        <v>RServSegAnalysis - Custom</v>
      </c>
      <c r="G109" s="196" t="str">
        <f>'Ad-Hoc | Reporting &amp; Analytics'!$F63</f>
        <v>Clustering involving appended data, client data, multiple data sets or clustering analysis that needs to be performed within a country or subgroup.</v>
      </c>
      <c r="H109" s="197"/>
      <c r="I109" s="191"/>
      <c r="J109" s="191" t="str">
        <f>'Ad-Hoc | Reporting &amp; Analytics'!$F64</f>
        <v>Custom</v>
      </c>
      <c r="K109" s="198"/>
      <c r="L109" s="198"/>
      <c r="M109" s="198"/>
      <c r="N109" s="198"/>
      <c r="O109" s="198" t="s">
        <v>944</v>
      </c>
      <c r="P109" s="199" t="s">
        <v>908</v>
      </c>
      <c r="Q109" s="215" t="s">
        <v>763</v>
      </c>
      <c r="R109" s="195" t="s">
        <v>764</v>
      </c>
      <c r="S109" s="200"/>
      <c r="T109" s="195" t="s">
        <v>765</v>
      </c>
      <c r="U109" s="195" t="s">
        <v>765</v>
      </c>
      <c r="V109" s="195" t="s">
        <v>765</v>
      </c>
      <c r="W109" s="201"/>
      <c r="X109" s="195"/>
      <c r="Y109" s="195"/>
      <c r="Z109" s="195"/>
      <c r="AA109" s="195"/>
      <c r="AB109" s="195"/>
      <c r="AC109" s="203">
        <v>0.0</v>
      </c>
      <c r="AD109" s="203">
        <v>3.0</v>
      </c>
      <c r="AE109" s="195" t="s">
        <v>955</v>
      </c>
      <c r="AF109" s="195" t="s">
        <v>767</v>
      </c>
      <c r="AG109" s="195" t="s">
        <v>776</v>
      </c>
      <c r="AH109" s="204"/>
      <c r="AI109" s="204"/>
      <c r="AJ109" s="204"/>
      <c r="AK109" s="204"/>
      <c r="AL109" s="204"/>
      <c r="AM109" s="205"/>
      <c r="AN109" s="205">
        <f>(AH109*'Staff Rates (Internal)'!B$2)+(AI109*'Staff Rates (Internal)'!B$3)+(AJ109*'Staff Rates (Internal)'!B$4)+(AK109*'Staff Rates (Internal)'!B$5)+(AL109*'Staff Rates (Internal)'!B$6)+(AM109*'Staff Rates (Internal)'!B$7)</f>
        <v>0</v>
      </c>
      <c r="AO109" s="206">
        <f>(AH109*'Staff Rates (External)'!B$2)+(AI109*'Staff Rates (External)'!B$3)+(AJ109*'Staff Rates (External)'!B$4)+(AK109*'Staff Rates (External)'!B$5)+(AL109*'Staff Rates (External)'!B$6)+(AM109*'Staff Rates (External)'!B$7)</f>
        <v>0</v>
      </c>
      <c r="AR109" s="195" t="s">
        <v>769</v>
      </c>
      <c r="AS109" s="195" t="s">
        <v>770</v>
      </c>
      <c r="AX109" s="204"/>
      <c r="AY109" s="204"/>
      <c r="AZ109" s="204"/>
      <c r="BA109" s="204"/>
      <c r="BB109" s="204"/>
      <c r="BC109" s="204"/>
      <c r="BD109" s="204"/>
      <c r="BE109" s="204"/>
      <c r="BF109" s="204"/>
      <c r="BG109" s="204"/>
      <c r="BH109" s="204"/>
      <c r="BI109" s="204"/>
      <c r="BJ109" s="204"/>
      <c r="BK109" s="204"/>
      <c r="BL109" s="204"/>
      <c r="BM109" s="204"/>
      <c r="BN109" s="204"/>
      <c r="BO109" s="204"/>
      <c r="BP109" s="204"/>
      <c r="BQ109" s="204"/>
      <c r="BR109" s="204"/>
      <c r="BS109" s="204"/>
      <c r="BT109" s="204"/>
      <c r="BU109" s="204"/>
      <c r="BV109" s="204"/>
      <c r="BW109" s="204"/>
      <c r="BX109" s="204"/>
      <c r="BY109" s="204"/>
      <c r="BZ109" s="204"/>
      <c r="CA109" s="204"/>
      <c r="CB109" s="207"/>
      <c r="CC109" s="208" t="str">
        <f t="shared" si="2"/>
        <v>Clustering Analysis</v>
      </c>
      <c r="CD109" s="208">
        <f t="shared" si="3"/>
        <v>1.727272727</v>
      </c>
      <c r="CE109" s="203">
        <v>1.0</v>
      </c>
      <c r="CF109" s="203">
        <v>1.0</v>
      </c>
      <c r="CG109" s="203">
        <v>2.0</v>
      </c>
      <c r="CH109" s="203">
        <v>2.0</v>
      </c>
      <c r="CI109" s="203">
        <v>2.0</v>
      </c>
      <c r="CJ109" s="203">
        <v>3.0</v>
      </c>
      <c r="CK109" s="203">
        <v>2.0</v>
      </c>
      <c r="CL109" s="203">
        <v>3.0</v>
      </c>
      <c r="CM109" s="209">
        <v>1.0</v>
      </c>
      <c r="CN109" s="203">
        <v>1.0</v>
      </c>
      <c r="CO109" s="203">
        <v>1.0</v>
      </c>
    </row>
    <row r="110" ht="15.75" customHeight="1">
      <c r="A110" s="185" t="s">
        <v>757</v>
      </c>
      <c r="B110" s="185" t="s">
        <v>439</v>
      </c>
      <c r="C110" s="185" t="s">
        <v>956</v>
      </c>
      <c r="D110" s="185" t="s">
        <v>56</v>
      </c>
      <c r="E110" s="195" t="s">
        <v>957</v>
      </c>
      <c r="F110" s="196" t="str">
        <f t="shared" si="8"/>
        <v>RSTypingToolCreation - Standard</v>
      </c>
      <c r="G110" s="196" t="str">
        <f>'Ad-Hoc | Reporting &amp; Analytics'!$C67</f>
        <v>Typing tool creation based on segmentation data and results. Includes creation of algorithms, creation of typing tool in Qualtrics, and creation of supporting documentation.</v>
      </c>
      <c r="H110" s="197"/>
      <c r="I110" s="191"/>
      <c r="J110" s="191">
        <f>'Ad-Hoc | Reporting &amp; Analytics'!$C68</f>
        <v>5000</v>
      </c>
      <c r="K110" s="198"/>
      <c r="L110" s="198"/>
      <c r="M110" s="198"/>
      <c r="N110" s="198"/>
      <c r="O110" s="198" t="s">
        <v>958</v>
      </c>
      <c r="P110" s="199" t="s">
        <v>908</v>
      </c>
      <c r="Q110" s="215" t="s">
        <v>763</v>
      </c>
      <c r="R110" s="195" t="s">
        <v>764</v>
      </c>
      <c r="S110" s="200"/>
      <c r="T110" s="195" t="s">
        <v>765</v>
      </c>
      <c r="U110" s="195" t="s">
        <v>765</v>
      </c>
      <c r="V110" s="195" t="s">
        <v>765</v>
      </c>
      <c r="W110" s="201"/>
      <c r="X110" s="195"/>
      <c r="Y110" s="195"/>
      <c r="Z110" s="195"/>
      <c r="AA110" s="195"/>
      <c r="AB110" s="195"/>
      <c r="AC110" s="203">
        <v>0.0</v>
      </c>
      <c r="AD110" s="203">
        <v>3.0</v>
      </c>
      <c r="AE110" s="195" t="s">
        <v>926</v>
      </c>
      <c r="AF110" s="195" t="s">
        <v>767</v>
      </c>
      <c r="AG110" s="195" t="s">
        <v>776</v>
      </c>
      <c r="AH110" s="204"/>
      <c r="AI110" s="204">
        <v>0.5</v>
      </c>
      <c r="AJ110" s="204"/>
      <c r="AK110" s="204">
        <v>16.0</v>
      </c>
      <c r="AL110" s="204">
        <v>4.0</v>
      </c>
      <c r="AM110" s="205"/>
      <c r="AN110" s="205">
        <f>(AH110*'Staff Rates (Internal)'!B$2)+(AI110*'Staff Rates (Internal)'!B$3)+(AJ110*'Staff Rates (Internal)'!B$4)+(AK110*'Staff Rates (Internal)'!B$5)+(AL110*'Staff Rates (Internal)'!B$6)+(AM110*'Staff Rates (Internal)'!B$7)</f>
        <v>1713.75</v>
      </c>
      <c r="AO110" s="206">
        <f>(AH110*'Staff Rates (External)'!B$2)+(AI110*'Staff Rates (External)'!B$3)+(AJ110*'Staff Rates (External)'!B$4)+(AK110*'Staff Rates (External)'!B$5)+(AL110*'Staff Rates (External)'!B$6)+(AM110*'Staff Rates (External)'!B$7)</f>
        <v>5525</v>
      </c>
      <c r="AR110" s="195" t="s">
        <v>769</v>
      </c>
      <c r="AS110" s="195" t="s">
        <v>770</v>
      </c>
      <c r="AX110" s="204" t="s">
        <v>783</v>
      </c>
      <c r="AY110" s="204" t="s">
        <v>783</v>
      </c>
      <c r="AZ110" s="204" t="s">
        <v>783</v>
      </c>
      <c r="BA110" s="204"/>
      <c r="BB110" s="204"/>
      <c r="BC110" s="204"/>
      <c r="BD110" s="204"/>
      <c r="BE110" s="204"/>
      <c r="BF110" s="204"/>
      <c r="BG110" s="204"/>
      <c r="BH110" s="204"/>
      <c r="BI110" s="204"/>
      <c r="BJ110" s="204"/>
      <c r="BK110" s="204"/>
      <c r="BL110" s="204"/>
      <c r="BM110" s="204"/>
      <c r="BN110" s="204"/>
      <c r="BO110" s="204"/>
      <c r="BP110" s="204"/>
      <c r="BQ110" s="204"/>
      <c r="BR110" s="204"/>
      <c r="BS110" s="204"/>
      <c r="BT110" s="204"/>
      <c r="BU110" s="204"/>
      <c r="BV110" s="204"/>
      <c r="BW110" s="204"/>
      <c r="BX110" s="204"/>
      <c r="BY110" s="204"/>
      <c r="BZ110" s="204"/>
      <c r="CA110" s="204"/>
      <c r="CB110" s="207"/>
      <c r="CC110" s="208" t="str">
        <f t="shared" si="2"/>
        <v>Typing Tool Creation (algorithm &amp; add to Qualtrics account)</v>
      </c>
      <c r="CD110" s="208">
        <f t="shared" si="3"/>
        <v>1.818181818</v>
      </c>
      <c r="CE110" s="203">
        <v>3.0</v>
      </c>
      <c r="CF110" s="203">
        <v>1.0</v>
      </c>
      <c r="CG110" s="203">
        <v>2.0</v>
      </c>
      <c r="CH110" s="203">
        <v>1.0</v>
      </c>
      <c r="CI110" s="203">
        <v>2.0</v>
      </c>
      <c r="CJ110" s="203">
        <v>3.0</v>
      </c>
      <c r="CK110" s="203">
        <v>2.0</v>
      </c>
      <c r="CL110" s="203">
        <v>3.0</v>
      </c>
      <c r="CM110" s="209">
        <v>1.0</v>
      </c>
      <c r="CN110" s="203">
        <v>1.0</v>
      </c>
      <c r="CO110" s="203">
        <v>1.0</v>
      </c>
    </row>
    <row r="111" ht="15.75" customHeight="1">
      <c r="A111" s="185" t="s">
        <v>757</v>
      </c>
      <c r="B111" s="185" t="s">
        <v>439</v>
      </c>
      <c r="C111" s="185" t="s">
        <v>94</v>
      </c>
      <c r="D111" s="185" t="s">
        <v>56</v>
      </c>
      <c r="E111" s="195" t="s">
        <v>959</v>
      </c>
      <c r="F111" s="196" t="str">
        <f t="shared" si="8"/>
        <v>RServOtherFullService - Standard</v>
      </c>
      <c r="G111" s="196" t="str">
        <f>'Ad-Hoc | Reporting &amp; Analytics'!$C71</f>
        <v>Estimating the potential size (people, volume and/or revenue) of a market and using that to understand size of segments, a particular category, or potential interest in a concept. Note, it may be required to collect partials and screenouts.</v>
      </c>
      <c r="H111" s="197"/>
      <c r="I111" s="191"/>
      <c r="J111" s="191">
        <f>'Ad-Hoc | Reporting &amp; Analytics'!$C72</f>
        <v>2000</v>
      </c>
      <c r="K111" s="198"/>
      <c r="L111" s="198"/>
      <c r="M111" s="198"/>
      <c r="N111" s="198"/>
      <c r="O111" s="198" t="s">
        <v>944</v>
      </c>
      <c r="P111" s="199" t="s">
        <v>908</v>
      </c>
      <c r="Q111" s="215" t="s">
        <v>763</v>
      </c>
      <c r="R111" s="195" t="s">
        <v>764</v>
      </c>
      <c r="S111" s="200"/>
      <c r="T111" s="195" t="s">
        <v>765</v>
      </c>
      <c r="U111" s="195" t="s">
        <v>765</v>
      </c>
      <c r="V111" s="195" t="s">
        <v>765</v>
      </c>
      <c r="W111" s="201"/>
      <c r="AC111" s="203">
        <v>0.0</v>
      </c>
      <c r="AD111" s="203">
        <v>3.0</v>
      </c>
      <c r="AE111" s="195" t="s">
        <v>960</v>
      </c>
      <c r="AF111" s="195" t="s">
        <v>767</v>
      </c>
      <c r="AH111" s="204"/>
      <c r="AI111" s="204"/>
      <c r="AJ111" s="204"/>
      <c r="AK111" s="204"/>
      <c r="AL111" s="204"/>
      <c r="AM111" s="205"/>
      <c r="AN111" s="205">
        <f>(AH111*'Staff Rates (Internal)'!B$2)+(AI111*'Staff Rates (Internal)'!B$3)+(AJ111*'Staff Rates (Internal)'!B$4)+(AK111*'Staff Rates (Internal)'!B$5)+(AL111*'Staff Rates (Internal)'!B$6)+(AM111*'Staff Rates (Internal)'!B$7)</f>
        <v>0</v>
      </c>
      <c r="AO111" s="206">
        <f>(AH111*'Staff Rates (External)'!B$2)+(AI111*'Staff Rates (External)'!B$3)+(AJ111*'Staff Rates (External)'!B$4)+(AK111*'Staff Rates (External)'!B$5)+(AL111*'Staff Rates (External)'!B$6)+(AM111*'Staff Rates (External)'!B$7)</f>
        <v>0</v>
      </c>
      <c r="AR111" s="195" t="s">
        <v>769</v>
      </c>
      <c r="AS111" s="195" t="s">
        <v>770</v>
      </c>
      <c r="AX111" s="204" t="s">
        <v>783</v>
      </c>
      <c r="AY111" s="204" t="s">
        <v>783</v>
      </c>
      <c r="AZ111" s="204" t="s">
        <v>783</v>
      </c>
      <c r="BA111" s="204"/>
      <c r="BB111" s="204"/>
      <c r="BC111" s="204"/>
      <c r="BD111" s="204"/>
      <c r="BE111" s="204"/>
      <c r="BF111" s="204"/>
      <c r="BG111" s="204"/>
      <c r="BH111" s="204"/>
      <c r="BI111" s="204"/>
      <c r="BJ111" s="204"/>
      <c r="BK111" s="204"/>
      <c r="BL111" s="204"/>
      <c r="BM111" s="204"/>
      <c r="BN111" s="204"/>
      <c r="BO111" s="204"/>
      <c r="BP111" s="204"/>
      <c r="BQ111" s="204"/>
      <c r="BR111" s="204"/>
      <c r="BS111" s="204"/>
      <c r="BT111" s="204"/>
      <c r="BU111" s="204"/>
      <c r="BV111" s="204"/>
      <c r="BW111" s="204"/>
      <c r="BX111" s="204"/>
      <c r="BY111" s="204"/>
      <c r="BZ111" s="204"/>
      <c r="CA111" s="204"/>
      <c r="CB111" s="207"/>
      <c r="CC111" s="208" t="str">
        <f t="shared" si="2"/>
        <v>Market Sizing Analysis</v>
      </c>
      <c r="CD111" s="208">
        <f t="shared" si="3"/>
        <v>1.727272727</v>
      </c>
      <c r="CE111" s="203">
        <v>3.0</v>
      </c>
      <c r="CF111" s="203">
        <v>1.0</v>
      </c>
      <c r="CG111" s="203">
        <v>2.0</v>
      </c>
      <c r="CH111" s="203">
        <v>1.0</v>
      </c>
      <c r="CI111" s="203">
        <v>2.0</v>
      </c>
      <c r="CJ111" s="203">
        <v>2.0</v>
      </c>
      <c r="CK111" s="203">
        <v>2.0</v>
      </c>
      <c r="CL111" s="203">
        <v>3.0</v>
      </c>
      <c r="CM111" s="209">
        <v>1.0</v>
      </c>
      <c r="CN111" s="203">
        <v>1.0</v>
      </c>
      <c r="CO111" s="203">
        <v>1.0</v>
      </c>
    </row>
    <row r="112" ht="15.75" customHeight="1">
      <c r="A112" s="185" t="s">
        <v>757</v>
      </c>
      <c r="B112" s="185" t="s">
        <v>961</v>
      </c>
      <c r="C112" s="185" t="s">
        <v>962</v>
      </c>
      <c r="D112" s="185" t="s">
        <v>56</v>
      </c>
      <c r="E112" s="195" t="s">
        <v>963</v>
      </c>
      <c r="F112" s="196" t="str">
        <f t="shared" si="8"/>
        <v>RSVoxPopMe - Standard</v>
      </c>
      <c r="G112" s="196" t="str">
        <f>'Ad-Hoc | Tech Add-Ons'!C9</f>
        <v>Running VoxPopMe video open ends through Qualtrics' VoxPopMe account. Assume 30-60 seconds per response.
Note, if client has their own account, then VoxPopMe is a standard integration fee of $1500. 
</v>
      </c>
      <c r="H112" s="197"/>
      <c r="I112" s="191"/>
      <c r="J112" s="191" t="str">
        <f>'Ad-Hoc | Tech Add-Ons'!C10</f>
        <v>$55 per minute + any incentives</v>
      </c>
      <c r="K112" s="198"/>
      <c r="L112" s="198"/>
      <c r="M112" s="198"/>
      <c r="N112" s="198"/>
      <c r="O112" s="198"/>
      <c r="P112" s="198"/>
      <c r="Q112" s="198"/>
      <c r="R112" s="195"/>
      <c r="S112" s="200"/>
      <c r="T112" s="195" t="s">
        <v>765</v>
      </c>
      <c r="U112" s="195" t="s">
        <v>765</v>
      </c>
      <c r="V112" s="195" t="s">
        <v>765</v>
      </c>
      <c r="W112" s="201"/>
      <c r="X112" s="195"/>
      <c r="AC112" s="203">
        <v>6.0</v>
      </c>
      <c r="AD112" s="203">
        <v>1.0</v>
      </c>
      <c r="AE112" s="195" t="s">
        <v>857</v>
      </c>
      <c r="AF112" s="195"/>
      <c r="AH112" s="204"/>
      <c r="AI112" s="204"/>
      <c r="AJ112" s="204"/>
      <c r="AK112" s="204"/>
      <c r="AL112" s="204"/>
      <c r="AM112" s="205"/>
      <c r="AN112" s="205">
        <f>(AH112*'Staff Rates (Internal)'!B$2)+(AI112*'Staff Rates (Internal)'!B$3)+(AJ112*'Staff Rates (Internal)'!B$4)+(AK112*'Staff Rates (Internal)'!B$5)+(AL112*'Staff Rates (Internal)'!B$6)+(AM112*'Staff Rates (Internal)'!B$7)</f>
        <v>0</v>
      </c>
      <c r="AO112" s="206">
        <f>(AH112*'Staff Rates (External)'!B$2)+(AI112*'Staff Rates (External)'!B$3)+(AJ112*'Staff Rates (External)'!B$4)+(AK112*'Staff Rates (External)'!B$5)+(AL112*'Staff Rates (External)'!B$6)+(AM112*'Staff Rates (External)'!B$7)</f>
        <v>0</v>
      </c>
      <c r="AR112" s="195"/>
      <c r="AX112" s="204"/>
      <c r="AY112" s="204"/>
      <c r="AZ112" s="204"/>
      <c r="BA112" s="204"/>
      <c r="BB112" s="204"/>
      <c r="BC112" s="204"/>
      <c r="BD112" s="204"/>
      <c r="BE112" s="204"/>
      <c r="BF112" s="204"/>
      <c r="BG112" s="204"/>
      <c r="BH112" s="204"/>
      <c r="BI112" s="204"/>
      <c r="BJ112" s="204"/>
      <c r="BK112" s="204"/>
      <c r="BL112" s="204"/>
      <c r="BM112" s="204"/>
      <c r="BN112" s="204"/>
      <c r="BO112" s="204"/>
      <c r="BP112" s="204"/>
      <c r="BQ112" s="204"/>
      <c r="BR112" s="204"/>
      <c r="BS112" s="204"/>
      <c r="BT112" s="204"/>
      <c r="BU112" s="204"/>
      <c r="BV112" s="204"/>
      <c r="BW112" s="204"/>
      <c r="BX112" s="204"/>
      <c r="BY112" s="204"/>
      <c r="BZ112" s="204"/>
      <c r="CA112" s="204"/>
      <c r="CB112" s="207"/>
      <c r="CC112" s="208" t="str">
        <f t="shared" si="2"/>
        <v>VoxPopMe Integration</v>
      </c>
      <c r="CD112" s="208">
        <f t="shared" si="3"/>
        <v>1.7</v>
      </c>
      <c r="CE112" s="203">
        <v>3.0</v>
      </c>
      <c r="CF112" s="203">
        <v>1.0</v>
      </c>
      <c r="CG112" s="203">
        <v>2.0</v>
      </c>
      <c r="CH112" s="203">
        <v>2.0</v>
      </c>
      <c r="CI112" s="203">
        <v>2.0</v>
      </c>
      <c r="CJ112" s="203">
        <v>2.0</v>
      </c>
      <c r="CK112" s="203" t="s">
        <v>43</v>
      </c>
      <c r="CL112" s="203">
        <v>2.0</v>
      </c>
      <c r="CM112" s="209">
        <v>1.0</v>
      </c>
      <c r="CN112" s="203">
        <v>1.0</v>
      </c>
      <c r="CO112" s="203">
        <v>1.0</v>
      </c>
    </row>
    <row r="113" ht="15.75" customHeight="1">
      <c r="A113" s="185" t="s">
        <v>757</v>
      </c>
      <c r="B113" s="185" t="s">
        <v>961</v>
      </c>
      <c r="C113" s="185" t="s">
        <v>96</v>
      </c>
      <c r="D113" s="185" t="s">
        <v>56</v>
      </c>
      <c r="E113" s="195" t="s">
        <v>964</v>
      </c>
      <c r="F113" s="196" t="str">
        <f t="shared" si="8"/>
        <v>RSiModerate - Standard</v>
      </c>
      <c r="G113" s="196" t="str">
        <f>'Ad-Hoc | Tech Add-Ons'!C13</f>
        <v>Base price to set-up w/ report for 20 chats. Study must have high IR (50%+) and a large portion of respondents eligible for these conversations (else the live moderators will be working without respondents coming through and we still need to pay)
Used for live text-based conversations directed from a quant study
Rules of Thumb:
- Moderators are live and waiting for respondents coming from quant
- Conversations typically last 20-30 minutes</v>
      </c>
      <c r="H113" s="197"/>
      <c r="I113" s="191"/>
      <c r="J113" s="191">
        <f>'Ad-Hoc | Tech Add-Ons'!C14</f>
        <v>20000</v>
      </c>
      <c r="K113" s="198"/>
      <c r="L113" s="198"/>
      <c r="M113" s="198"/>
      <c r="N113" s="198"/>
      <c r="O113" s="198"/>
      <c r="P113" s="198"/>
      <c r="Q113" s="198"/>
      <c r="R113" s="195"/>
      <c r="S113" s="200"/>
      <c r="T113" s="195" t="s">
        <v>765</v>
      </c>
      <c r="U113" s="195" t="s">
        <v>765</v>
      </c>
      <c r="V113" s="195" t="s">
        <v>765</v>
      </c>
      <c r="W113" s="201"/>
      <c r="X113" s="195"/>
      <c r="AC113" s="203">
        <v>6.0</v>
      </c>
      <c r="AD113" s="203">
        <v>1.0</v>
      </c>
      <c r="AE113" s="195" t="s">
        <v>857</v>
      </c>
      <c r="AF113" s="195"/>
      <c r="AH113" s="204"/>
      <c r="AI113" s="204"/>
      <c r="AJ113" s="204"/>
      <c r="AK113" s="204"/>
      <c r="AL113" s="204"/>
      <c r="AM113" s="205"/>
      <c r="AN113" s="205">
        <f>(AH113*'Staff Rates (Internal)'!B$2)+(AI113*'Staff Rates (Internal)'!B$3)+(AJ113*'Staff Rates (Internal)'!B$4)+(AK113*'Staff Rates (Internal)'!B$5)+(AL113*'Staff Rates (Internal)'!B$6)+(AM113*'Staff Rates (Internal)'!B$7)</f>
        <v>0</v>
      </c>
      <c r="AO113" s="206">
        <f>(AH113*'Staff Rates (External)'!B$2)+(AI113*'Staff Rates (External)'!B$3)+(AJ113*'Staff Rates (External)'!B$4)+(AK113*'Staff Rates (External)'!B$5)+(AL113*'Staff Rates (External)'!B$6)+(AM113*'Staff Rates (External)'!B$7)</f>
        <v>0</v>
      </c>
      <c r="AR113" s="195"/>
      <c r="AX113" s="204"/>
      <c r="AY113" s="204"/>
      <c r="AZ113" s="204"/>
      <c r="BA113" s="204"/>
      <c r="BB113" s="204"/>
      <c r="BC113" s="204"/>
      <c r="BD113" s="204"/>
      <c r="BE113" s="204"/>
      <c r="BF113" s="204"/>
      <c r="BG113" s="204"/>
      <c r="BH113" s="204"/>
      <c r="BI113" s="204"/>
      <c r="BJ113" s="204"/>
      <c r="BK113" s="204"/>
      <c r="BL113" s="204"/>
      <c r="BM113" s="204"/>
      <c r="BN113" s="204"/>
      <c r="BO113" s="204"/>
      <c r="BP113" s="204"/>
      <c r="BQ113" s="204"/>
      <c r="BR113" s="204"/>
      <c r="BS113" s="204"/>
      <c r="BT113" s="204"/>
      <c r="BU113" s="204"/>
      <c r="BV113" s="204"/>
      <c r="BW113" s="204"/>
      <c r="BX113" s="204"/>
      <c r="BY113" s="204"/>
      <c r="BZ113" s="204"/>
      <c r="CA113" s="204"/>
      <c r="CB113" s="207"/>
      <c r="CC113" s="208" t="str">
        <f t="shared" si="2"/>
        <v>iModerate</v>
      </c>
      <c r="CD113" s="208">
        <f t="shared" si="3"/>
        <v>1.6</v>
      </c>
      <c r="CE113" s="203">
        <v>3.0</v>
      </c>
      <c r="CF113" s="203">
        <v>1.0</v>
      </c>
      <c r="CG113" s="203">
        <v>2.0</v>
      </c>
      <c r="CH113" s="203">
        <v>1.0</v>
      </c>
      <c r="CI113" s="203">
        <v>2.0</v>
      </c>
      <c r="CJ113" s="203">
        <v>2.0</v>
      </c>
      <c r="CK113" s="203" t="s">
        <v>43</v>
      </c>
      <c r="CL113" s="203">
        <v>2.0</v>
      </c>
      <c r="CM113" s="209">
        <v>1.0</v>
      </c>
      <c r="CN113" s="203">
        <v>1.0</v>
      </c>
      <c r="CO113" s="203">
        <v>1.0</v>
      </c>
    </row>
    <row r="114" ht="15.75" customHeight="1">
      <c r="A114" s="185" t="s">
        <v>757</v>
      </c>
      <c r="B114" s="185" t="s">
        <v>961</v>
      </c>
      <c r="C114" s="185" t="s">
        <v>96</v>
      </c>
      <c r="D114" s="185" t="s">
        <v>60</v>
      </c>
      <c r="E114" s="195" t="s">
        <v>964</v>
      </c>
      <c r="F114" s="196" t="str">
        <f t="shared" si="8"/>
        <v>RSiModerate - Custom</v>
      </c>
      <c r="G114" s="196" t="str">
        <f>'Ad-Hoc | Tech Add-Ons'!F13</f>
        <v>Custom quote if the sudy has low IR studies, less than half of respondents will likely be eligible for a chat, or you need for a report based on over 20 chats.
Used for live text-based conversations directed from a quant study
Rules of Thumb:
- Moderators are live and waiting for respondents coming from quant
- Conversations typically last 20-30 minutes</v>
      </c>
      <c r="H114" s="197"/>
      <c r="I114" s="191"/>
      <c r="J114" s="191" t="str">
        <f>'Ad-Hoc | Tech Add-Ons'!F14</f>
        <v>Custom Quote</v>
      </c>
      <c r="K114" s="198"/>
      <c r="L114" s="198"/>
      <c r="M114" s="198"/>
      <c r="N114" s="198"/>
      <c r="O114" s="198"/>
      <c r="P114" s="198"/>
      <c r="Q114" s="198"/>
      <c r="R114" s="195"/>
      <c r="S114" s="200"/>
      <c r="T114" s="195" t="s">
        <v>765</v>
      </c>
      <c r="U114" s="195" t="s">
        <v>765</v>
      </c>
      <c r="V114" s="195" t="s">
        <v>765</v>
      </c>
      <c r="W114" s="201"/>
      <c r="X114" s="195"/>
      <c r="AC114" s="203">
        <v>6.0</v>
      </c>
      <c r="AD114" s="203">
        <v>1.0</v>
      </c>
      <c r="AE114" s="195" t="s">
        <v>857</v>
      </c>
      <c r="AF114" s="195"/>
      <c r="AH114" s="204"/>
      <c r="AI114" s="204"/>
      <c r="AJ114" s="204"/>
      <c r="AK114" s="204"/>
      <c r="AL114" s="204"/>
      <c r="AM114" s="205"/>
      <c r="AN114" s="205">
        <f>(AH114*'Staff Rates (Internal)'!B$2)+(AI114*'Staff Rates (Internal)'!B$3)+(AJ114*'Staff Rates (Internal)'!B$4)+(AK114*'Staff Rates (Internal)'!B$5)+(AL114*'Staff Rates (Internal)'!B$6)+(AM114*'Staff Rates (Internal)'!B$7)</f>
        <v>0</v>
      </c>
      <c r="AO114" s="206">
        <f>(AH114*'Staff Rates (External)'!B$2)+(AI114*'Staff Rates (External)'!B$3)+(AJ114*'Staff Rates (External)'!B$4)+(AK114*'Staff Rates (External)'!B$5)+(AL114*'Staff Rates (External)'!B$6)+(AM114*'Staff Rates (External)'!B$7)</f>
        <v>0</v>
      </c>
      <c r="AR114" s="195"/>
      <c r="AX114" s="204"/>
      <c r="AY114" s="204"/>
      <c r="AZ114" s="204"/>
      <c r="BA114" s="204"/>
      <c r="BB114" s="204"/>
      <c r="BC114" s="204"/>
      <c r="BD114" s="204"/>
      <c r="BE114" s="204"/>
      <c r="BF114" s="204"/>
      <c r="BG114" s="204"/>
      <c r="BH114" s="204"/>
      <c r="BI114" s="204"/>
      <c r="BJ114" s="204"/>
      <c r="BK114" s="204"/>
      <c r="BL114" s="204"/>
      <c r="BM114" s="204"/>
      <c r="BN114" s="204"/>
      <c r="BO114" s="204"/>
      <c r="BP114" s="204"/>
      <c r="BQ114" s="204"/>
      <c r="BR114" s="204"/>
      <c r="BS114" s="204"/>
      <c r="BT114" s="204"/>
      <c r="BU114" s="204"/>
      <c r="BV114" s="204"/>
      <c r="BW114" s="204"/>
      <c r="BX114" s="204"/>
      <c r="BY114" s="204"/>
      <c r="BZ114" s="204"/>
      <c r="CA114" s="204"/>
      <c r="CB114" s="207"/>
      <c r="CC114" s="208" t="str">
        <f t="shared" si="2"/>
        <v>iModerate</v>
      </c>
      <c r="CD114" s="208">
        <f t="shared" si="3"/>
        <v>1.4</v>
      </c>
      <c r="CE114" s="203">
        <v>1.0</v>
      </c>
      <c r="CF114" s="203">
        <v>1.0</v>
      </c>
      <c r="CG114" s="203">
        <v>2.0</v>
      </c>
      <c r="CH114" s="203">
        <v>1.0</v>
      </c>
      <c r="CI114" s="203">
        <v>2.0</v>
      </c>
      <c r="CJ114" s="203">
        <v>2.0</v>
      </c>
      <c r="CK114" s="203" t="s">
        <v>43</v>
      </c>
      <c r="CL114" s="203">
        <v>2.0</v>
      </c>
      <c r="CM114" s="209">
        <v>1.0</v>
      </c>
      <c r="CN114" s="203">
        <v>1.0</v>
      </c>
      <c r="CO114" s="203">
        <v>1.0</v>
      </c>
    </row>
    <row r="115" ht="15.75" customHeight="1">
      <c r="A115" s="185" t="s">
        <v>757</v>
      </c>
      <c r="B115" s="185" t="s">
        <v>961</v>
      </c>
      <c r="C115" s="185" t="s">
        <v>198</v>
      </c>
      <c r="D115" s="185" t="s">
        <v>56</v>
      </c>
      <c r="E115" s="195" t="s">
        <v>965</v>
      </c>
      <c r="F115" s="196" t="str">
        <f t="shared" si="8"/>
        <v>RSDialsmith - Standard</v>
      </c>
      <c r="G115" s="196" t="str">
        <f>'Ad-Hoc | Tech Add-Ons'!C17</f>
        <v>Dialsmith’s online dial testing supports the testing of any recorded video or audio and respondents use a 'dial' to say how much they like or dislike each second.
For a video (1) up to 5 minutes in length. First 100 completes included in the base price, each complete thereafter $5 per complete.</v>
      </c>
      <c r="H115" s="197"/>
      <c r="I115" s="191"/>
      <c r="J115" s="191" t="str">
        <f>'Ad-Hoc | Tech Add-Ons'!C18</f>
        <v>$5,250 + $5/complete after first 100/video</v>
      </c>
      <c r="K115" s="198"/>
      <c r="L115" s="198"/>
      <c r="M115" s="198"/>
      <c r="N115" s="198"/>
      <c r="O115" s="198"/>
      <c r="P115" s="198"/>
      <c r="Q115" s="198"/>
      <c r="R115" s="195"/>
      <c r="S115" s="200"/>
      <c r="T115" s="195" t="s">
        <v>765</v>
      </c>
      <c r="U115" s="195" t="s">
        <v>765</v>
      </c>
      <c r="V115" s="195" t="s">
        <v>765</v>
      </c>
      <c r="W115" s="201"/>
      <c r="X115" s="195"/>
      <c r="AC115" s="203">
        <v>6.0</v>
      </c>
      <c r="AD115" s="203">
        <v>1.0</v>
      </c>
      <c r="AE115" s="195" t="s">
        <v>857</v>
      </c>
      <c r="AF115" s="195"/>
      <c r="AH115" s="204"/>
      <c r="AI115" s="204"/>
      <c r="AJ115" s="204"/>
      <c r="AK115" s="204"/>
      <c r="AL115" s="204"/>
      <c r="AM115" s="205"/>
      <c r="AN115" s="205">
        <f>(AH115*'Staff Rates (Internal)'!B$2)+(AI115*'Staff Rates (Internal)'!B$3)+(AJ115*'Staff Rates (Internal)'!B$4)+(AK115*'Staff Rates (Internal)'!B$5)+(AL115*'Staff Rates (Internal)'!B$6)+(AM115*'Staff Rates (Internal)'!B$7)</f>
        <v>0</v>
      </c>
      <c r="AO115" s="206">
        <f>(AH115*'Staff Rates (External)'!B$2)+(AI115*'Staff Rates (External)'!B$3)+(AJ115*'Staff Rates (External)'!B$4)+(AK115*'Staff Rates (External)'!B$5)+(AL115*'Staff Rates (External)'!B$6)+(AM115*'Staff Rates (External)'!B$7)</f>
        <v>0</v>
      </c>
      <c r="AR115" s="195"/>
      <c r="AX115" s="204"/>
      <c r="AY115" s="204"/>
      <c r="AZ115" s="204"/>
      <c r="BA115" s="204"/>
      <c r="BB115" s="204"/>
      <c r="BC115" s="204"/>
      <c r="BD115" s="204"/>
      <c r="BE115" s="204"/>
      <c r="BF115" s="204"/>
      <c r="BG115" s="204"/>
      <c r="BH115" s="204"/>
      <c r="BI115" s="204"/>
      <c r="BJ115" s="204"/>
      <c r="BK115" s="204"/>
      <c r="BL115" s="204"/>
      <c r="BM115" s="204"/>
      <c r="BN115" s="204"/>
      <c r="BO115" s="204"/>
      <c r="BP115" s="204"/>
      <c r="BQ115" s="204"/>
      <c r="BR115" s="204"/>
      <c r="BS115" s="204"/>
      <c r="BT115" s="204"/>
      <c r="BU115" s="204"/>
      <c r="BV115" s="204"/>
      <c r="BW115" s="204"/>
      <c r="BX115" s="204"/>
      <c r="BY115" s="204"/>
      <c r="BZ115" s="204"/>
      <c r="CA115" s="204"/>
      <c r="CB115" s="207"/>
      <c r="CC115" s="208" t="str">
        <f t="shared" si="2"/>
        <v>Dialsmith</v>
      </c>
      <c r="CD115" s="208">
        <f t="shared" si="3"/>
        <v>1.6</v>
      </c>
      <c r="CE115" s="203">
        <v>3.0</v>
      </c>
      <c r="CF115" s="203">
        <v>1.0</v>
      </c>
      <c r="CG115" s="203">
        <v>2.0</v>
      </c>
      <c r="CH115" s="203">
        <v>1.0</v>
      </c>
      <c r="CI115" s="203">
        <v>2.0</v>
      </c>
      <c r="CJ115" s="203">
        <v>2.0</v>
      </c>
      <c r="CK115" s="203" t="s">
        <v>43</v>
      </c>
      <c r="CL115" s="203">
        <v>2.0</v>
      </c>
      <c r="CM115" s="209">
        <v>1.0</v>
      </c>
      <c r="CN115" s="203">
        <v>1.0</v>
      </c>
      <c r="CO115" s="203">
        <v>1.0</v>
      </c>
    </row>
    <row r="116" ht="15.75" customHeight="1">
      <c r="A116" s="185" t="s">
        <v>757</v>
      </c>
      <c r="B116" s="185" t="s">
        <v>961</v>
      </c>
      <c r="C116" s="185" t="s">
        <v>198</v>
      </c>
      <c r="D116" s="185" t="s">
        <v>58</v>
      </c>
      <c r="E116" s="195" t="s">
        <v>965</v>
      </c>
      <c r="F116" s="196" t="str">
        <f t="shared" si="8"/>
        <v>RSDialsmith - Standard Plus</v>
      </c>
      <c r="G116" s="196" t="str">
        <f>'Ad-Hoc | Tech Add-Ons'!D17</f>
        <v>Dialsmith’s online dial testing supports the testing of any recorded video or audio and respondents use a 'dial' to say how much they like or dislike each second.
For a two videos (2) up to 5 minutes in length each. First 100 completes included in the base price, each complete thereafter $5 per complete.</v>
      </c>
      <c r="H116" s="197"/>
      <c r="I116" s="191"/>
      <c r="J116" s="191" t="str">
        <f>'Ad-Hoc | Tech Add-Ons'!D18</f>
        <v>$9,000 + $5/complete after first 100/video</v>
      </c>
      <c r="K116" s="198"/>
      <c r="L116" s="198"/>
      <c r="M116" s="198"/>
      <c r="N116" s="198"/>
      <c r="O116" s="198"/>
      <c r="P116" s="198"/>
      <c r="Q116" s="198"/>
      <c r="R116" s="195"/>
      <c r="S116" s="200"/>
      <c r="T116" s="195" t="s">
        <v>765</v>
      </c>
      <c r="U116" s="195" t="s">
        <v>765</v>
      </c>
      <c r="V116" s="195" t="s">
        <v>765</v>
      </c>
      <c r="W116" s="201"/>
      <c r="X116" s="195"/>
      <c r="AC116" s="203">
        <v>6.0</v>
      </c>
      <c r="AD116" s="203">
        <v>1.0</v>
      </c>
      <c r="AE116" s="195" t="s">
        <v>857</v>
      </c>
      <c r="AF116" s="195"/>
      <c r="AH116" s="204"/>
      <c r="AI116" s="204"/>
      <c r="AJ116" s="204"/>
      <c r="AK116" s="204"/>
      <c r="AL116" s="204"/>
      <c r="AM116" s="205"/>
      <c r="AN116" s="205">
        <f>(AH116*'Staff Rates (Internal)'!B$2)+(AI116*'Staff Rates (Internal)'!B$3)+(AJ116*'Staff Rates (Internal)'!B$4)+(AK116*'Staff Rates (Internal)'!B$5)+(AL116*'Staff Rates (Internal)'!B$6)+(AM116*'Staff Rates (Internal)'!B$7)</f>
        <v>0</v>
      </c>
      <c r="AO116" s="206">
        <f>(AH116*'Staff Rates (External)'!B$2)+(AI116*'Staff Rates (External)'!B$3)+(AJ116*'Staff Rates (External)'!B$4)+(AK116*'Staff Rates (External)'!B$5)+(AL116*'Staff Rates (External)'!B$6)+(AM116*'Staff Rates (External)'!B$7)</f>
        <v>0</v>
      </c>
      <c r="AR116" s="195"/>
      <c r="AX116" s="204"/>
      <c r="AY116" s="204"/>
      <c r="AZ116" s="204"/>
      <c r="BA116" s="204"/>
      <c r="BB116" s="204"/>
      <c r="BC116" s="204"/>
      <c r="BD116" s="204"/>
      <c r="BE116" s="204"/>
      <c r="BF116" s="204"/>
      <c r="BG116" s="204"/>
      <c r="BH116" s="204"/>
      <c r="BI116" s="204"/>
      <c r="BJ116" s="204"/>
      <c r="BK116" s="204"/>
      <c r="BL116" s="204"/>
      <c r="BM116" s="204"/>
      <c r="BN116" s="204"/>
      <c r="BO116" s="204"/>
      <c r="BP116" s="204"/>
      <c r="BQ116" s="204"/>
      <c r="BR116" s="204"/>
      <c r="BS116" s="204"/>
      <c r="BT116" s="204"/>
      <c r="BU116" s="204"/>
      <c r="BV116" s="204"/>
      <c r="BW116" s="204"/>
      <c r="BX116" s="204"/>
      <c r="BY116" s="204"/>
      <c r="BZ116" s="204"/>
      <c r="CA116" s="204"/>
      <c r="CB116" s="207"/>
      <c r="CC116" s="208" t="str">
        <f t="shared" si="2"/>
        <v>Dialsmith</v>
      </c>
      <c r="CD116" s="208">
        <f t="shared" si="3"/>
        <v>1.6</v>
      </c>
      <c r="CE116" s="203">
        <v>3.0</v>
      </c>
      <c r="CF116" s="203">
        <v>1.0</v>
      </c>
      <c r="CG116" s="203">
        <v>2.0</v>
      </c>
      <c r="CH116" s="203">
        <v>1.0</v>
      </c>
      <c r="CI116" s="203">
        <v>2.0</v>
      </c>
      <c r="CJ116" s="203">
        <v>2.0</v>
      </c>
      <c r="CK116" s="203" t="s">
        <v>43</v>
      </c>
      <c r="CL116" s="203">
        <v>2.0</v>
      </c>
      <c r="CM116" s="209">
        <v>1.0</v>
      </c>
      <c r="CN116" s="203">
        <v>1.0</v>
      </c>
      <c r="CO116" s="203">
        <v>1.0</v>
      </c>
    </row>
    <row r="117" ht="15.75" customHeight="1">
      <c r="A117" s="185" t="s">
        <v>757</v>
      </c>
      <c r="B117" s="185" t="s">
        <v>961</v>
      </c>
      <c r="C117" s="185" t="s">
        <v>198</v>
      </c>
      <c r="D117" s="185" t="s">
        <v>59</v>
      </c>
      <c r="E117" s="195" t="s">
        <v>965</v>
      </c>
      <c r="F117" s="196" t="str">
        <f t="shared" si="8"/>
        <v>RSDialsmith - Advanced</v>
      </c>
      <c r="G117" s="196" t="str">
        <f>'Ad-Hoc | Tech Add-Ons'!E17</f>
        <v>Dialsmith’s online dial testing supports the testing of any recorded video or audio and respondents use a 'dial' to say how much they like or dislike each second.
For a three videos (3) up to 5 minutes in length each. First 100 completes included in the base price, each complete thereafter $5 per complete.</v>
      </c>
      <c r="H117" s="197"/>
      <c r="I117" s="191"/>
      <c r="J117" s="191" t="str">
        <f>'Ad-Hoc | Tech Add-Ons'!E18</f>
        <v>$12,750 + $5/complete after first 100/video</v>
      </c>
      <c r="K117" s="198"/>
      <c r="L117" s="198"/>
      <c r="M117" s="198"/>
      <c r="N117" s="198"/>
      <c r="O117" s="198"/>
      <c r="P117" s="198"/>
      <c r="Q117" s="198"/>
      <c r="R117" s="195"/>
      <c r="S117" s="200"/>
      <c r="T117" s="195" t="s">
        <v>765</v>
      </c>
      <c r="U117" s="195" t="s">
        <v>765</v>
      </c>
      <c r="V117" s="195" t="s">
        <v>765</v>
      </c>
      <c r="W117" s="201"/>
      <c r="X117" s="195"/>
      <c r="AC117" s="203">
        <v>6.0</v>
      </c>
      <c r="AD117" s="203">
        <v>1.0</v>
      </c>
      <c r="AE117" s="195" t="s">
        <v>857</v>
      </c>
      <c r="AF117" s="195"/>
      <c r="AH117" s="204"/>
      <c r="AI117" s="204"/>
      <c r="AJ117" s="204"/>
      <c r="AK117" s="204"/>
      <c r="AL117" s="204"/>
      <c r="AM117" s="205"/>
      <c r="AN117" s="205">
        <f>(AH117*'Staff Rates (Internal)'!B$2)+(AI117*'Staff Rates (Internal)'!B$3)+(AJ117*'Staff Rates (Internal)'!B$4)+(AK117*'Staff Rates (Internal)'!B$5)+(AL117*'Staff Rates (Internal)'!B$6)+(AM117*'Staff Rates (Internal)'!B$7)</f>
        <v>0</v>
      </c>
      <c r="AO117" s="206">
        <f>(AH117*'Staff Rates (External)'!B$2)+(AI117*'Staff Rates (External)'!B$3)+(AJ117*'Staff Rates (External)'!B$4)+(AK117*'Staff Rates (External)'!B$5)+(AL117*'Staff Rates (External)'!B$6)+(AM117*'Staff Rates (External)'!B$7)</f>
        <v>0</v>
      </c>
      <c r="AR117" s="195"/>
      <c r="AX117" s="204"/>
      <c r="AY117" s="204"/>
      <c r="AZ117" s="204"/>
      <c r="BA117" s="204"/>
      <c r="BB117" s="204"/>
      <c r="BC117" s="204"/>
      <c r="BD117" s="204"/>
      <c r="BE117" s="204"/>
      <c r="BF117" s="204"/>
      <c r="BG117" s="204"/>
      <c r="BH117" s="204"/>
      <c r="BI117" s="204"/>
      <c r="BJ117" s="204"/>
      <c r="BK117" s="204"/>
      <c r="BL117" s="204"/>
      <c r="BM117" s="204"/>
      <c r="BN117" s="204"/>
      <c r="BO117" s="204"/>
      <c r="BP117" s="204"/>
      <c r="BQ117" s="204"/>
      <c r="BR117" s="204"/>
      <c r="BS117" s="204"/>
      <c r="BT117" s="204"/>
      <c r="BU117" s="204"/>
      <c r="BV117" s="204"/>
      <c r="BW117" s="204"/>
      <c r="BX117" s="204"/>
      <c r="BY117" s="204"/>
      <c r="BZ117" s="204"/>
      <c r="CA117" s="204"/>
      <c r="CB117" s="207"/>
      <c r="CC117" s="208" t="str">
        <f t="shared" si="2"/>
        <v>Dialsmith</v>
      </c>
      <c r="CD117" s="208">
        <f t="shared" si="3"/>
        <v>1.6</v>
      </c>
      <c r="CE117" s="203">
        <v>3.0</v>
      </c>
      <c r="CF117" s="203">
        <v>1.0</v>
      </c>
      <c r="CG117" s="203">
        <v>2.0</v>
      </c>
      <c r="CH117" s="203">
        <v>1.0</v>
      </c>
      <c r="CI117" s="203">
        <v>2.0</v>
      </c>
      <c r="CJ117" s="203">
        <v>2.0</v>
      </c>
      <c r="CK117" s="203" t="s">
        <v>43</v>
      </c>
      <c r="CL117" s="203">
        <v>2.0</v>
      </c>
      <c r="CM117" s="209">
        <v>1.0</v>
      </c>
      <c r="CN117" s="203">
        <v>1.0</v>
      </c>
      <c r="CO117" s="203">
        <v>1.0</v>
      </c>
    </row>
    <row r="118" ht="15.75" customHeight="1">
      <c r="A118" s="185" t="s">
        <v>757</v>
      </c>
      <c r="B118" s="185" t="s">
        <v>961</v>
      </c>
      <c r="C118" s="185" t="s">
        <v>198</v>
      </c>
      <c r="D118" s="185" t="s">
        <v>60</v>
      </c>
      <c r="E118" s="195" t="s">
        <v>965</v>
      </c>
      <c r="F118" s="196" t="str">
        <f t="shared" si="8"/>
        <v>RSDialsmith - Custom</v>
      </c>
      <c r="G118" s="196" t="str">
        <f>'Ad-Hoc | Tech Add-Ons'!F17</f>
        <v>More than 3 videos or videos longer than 5 minutes in length.</v>
      </c>
      <c r="H118" s="197"/>
      <c r="I118" s="191"/>
      <c r="J118" s="191" t="str">
        <f>'Ad-Hoc | Tech Add-Ons'!F18</f>
        <v>Custom Quote</v>
      </c>
      <c r="K118" s="198"/>
      <c r="L118" s="198"/>
      <c r="M118" s="198"/>
      <c r="N118" s="198"/>
      <c r="O118" s="198"/>
      <c r="P118" s="198"/>
      <c r="Q118" s="198"/>
      <c r="R118" s="195"/>
      <c r="S118" s="200"/>
      <c r="T118" s="195" t="s">
        <v>765</v>
      </c>
      <c r="U118" s="195" t="s">
        <v>765</v>
      </c>
      <c r="V118" s="195" t="s">
        <v>765</v>
      </c>
      <c r="W118" s="201"/>
      <c r="X118" s="195"/>
      <c r="AC118" s="203">
        <v>6.0</v>
      </c>
      <c r="AD118" s="203">
        <v>1.0</v>
      </c>
      <c r="AE118" s="195" t="s">
        <v>857</v>
      </c>
      <c r="AF118" s="195"/>
      <c r="AH118" s="204"/>
      <c r="AI118" s="204"/>
      <c r="AJ118" s="204"/>
      <c r="AK118" s="204"/>
      <c r="AL118" s="204"/>
      <c r="AM118" s="205"/>
      <c r="AN118" s="205">
        <f>(AH118*'Staff Rates (Internal)'!B$2)+(AI118*'Staff Rates (Internal)'!B$3)+(AJ118*'Staff Rates (Internal)'!B$4)+(AK118*'Staff Rates (Internal)'!B$5)+(AL118*'Staff Rates (Internal)'!B$6)+(AM118*'Staff Rates (Internal)'!B$7)</f>
        <v>0</v>
      </c>
      <c r="AO118" s="206">
        <f>(AH118*'Staff Rates (External)'!B$2)+(AI118*'Staff Rates (External)'!B$3)+(AJ118*'Staff Rates (External)'!B$4)+(AK118*'Staff Rates (External)'!B$5)+(AL118*'Staff Rates (External)'!B$6)+(AM118*'Staff Rates (External)'!B$7)</f>
        <v>0</v>
      </c>
      <c r="AR118" s="195"/>
      <c r="AX118" s="204"/>
      <c r="AY118" s="204"/>
      <c r="AZ118" s="204"/>
      <c r="BA118" s="204"/>
      <c r="BB118" s="204"/>
      <c r="BC118" s="204"/>
      <c r="BD118" s="204"/>
      <c r="BE118" s="204"/>
      <c r="BF118" s="204"/>
      <c r="BG118" s="204"/>
      <c r="BH118" s="204"/>
      <c r="BI118" s="204"/>
      <c r="BJ118" s="204"/>
      <c r="BK118" s="204"/>
      <c r="BL118" s="204"/>
      <c r="BM118" s="204"/>
      <c r="BN118" s="204"/>
      <c r="BO118" s="204"/>
      <c r="BP118" s="204"/>
      <c r="BQ118" s="204"/>
      <c r="BR118" s="204"/>
      <c r="BS118" s="204"/>
      <c r="BT118" s="204"/>
      <c r="BU118" s="204"/>
      <c r="BV118" s="204"/>
      <c r="BW118" s="204"/>
      <c r="BX118" s="204"/>
      <c r="BY118" s="204"/>
      <c r="BZ118" s="204"/>
      <c r="CA118" s="204"/>
      <c r="CB118" s="207"/>
      <c r="CC118" s="208" t="str">
        <f t="shared" si="2"/>
        <v>Dialsmith</v>
      </c>
      <c r="CD118" s="208">
        <f t="shared" si="3"/>
        <v>1.4</v>
      </c>
      <c r="CE118" s="203">
        <v>1.0</v>
      </c>
      <c r="CF118" s="203">
        <v>1.0</v>
      </c>
      <c r="CG118" s="203">
        <v>2.0</v>
      </c>
      <c r="CH118" s="203">
        <v>1.0</v>
      </c>
      <c r="CI118" s="203">
        <v>2.0</v>
      </c>
      <c r="CJ118" s="203">
        <v>2.0</v>
      </c>
      <c r="CK118" s="203" t="s">
        <v>43</v>
      </c>
      <c r="CL118" s="203">
        <v>2.0</v>
      </c>
      <c r="CM118" s="209">
        <v>1.0</v>
      </c>
      <c r="CN118" s="203">
        <v>1.0</v>
      </c>
      <c r="CO118" s="203">
        <v>1.0</v>
      </c>
    </row>
    <row r="119" ht="15.75" customHeight="1">
      <c r="A119" s="185" t="s">
        <v>757</v>
      </c>
      <c r="B119" s="185" t="s">
        <v>961</v>
      </c>
      <c r="C119" s="185" t="s">
        <v>966</v>
      </c>
      <c r="D119" s="185" t="s">
        <v>60</v>
      </c>
      <c r="E119" s="195" t="s">
        <v>967</v>
      </c>
      <c r="F119" s="196" t="str">
        <f t="shared" si="8"/>
        <v>RSFacialCoding - Custom</v>
      </c>
      <c r="G119" s="196" t="str">
        <f>'Ad-Hoc | Tech Add-Ons'!F21</f>
        <v>Emotion measurement technology which codes emotions based on facial expressions. Often used in ad, package, or concept tests.</v>
      </c>
      <c r="H119" s="197"/>
      <c r="I119" s="191"/>
      <c r="J119" s="191" t="str">
        <f>'Ad-Hoc | Tech Add-Ons'!F22</f>
        <v>Custom Quote</v>
      </c>
      <c r="K119" s="198"/>
      <c r="L119" s="198"/>
      <c r="M119" s="198"/>
      <c r="N119" s="198"/>
      <c r="O119" s="198"/>
      <c r="P119" s="198"/>
      <c r="Q119" s="198"/>
      <c r="R119" s="195"/>
      <c r="S119" s="200"/>
      <c r="T119" s="195" t="s">
        <v>765</v>
      </c>
      <c r="U119" s="195" t="s">
        <v>765</v>
      </c>
      <c r="V119" s="195" t="s">
        <v>765</v>
      </c>
      <c r="W119" s="201"/>
      <c r="X119" s="195"/>
      <c r="AC119" s="203">
        <v>6.0</v>
      </c>
      <c r="AD119" s="203">
        <v>1.0</v>
      </c>
      <c r="AE119" s="195" t="s">
        <v>857</v>
      </c>
      <c r="AF119" s="195"/>
      <c r="AH119" s="204"/>
      <c r="AI119" s="204"/>
      <c r="AJ119" s="204"/>
      <c r="AK119" s="204"/>
      <c r="AL119" s="204"/>
      <c r="AM119" s="205"/>
      <c r="AN119" s="205">
        <f>(AH119*'Staff Rates (Internal)'!B$2)+(AI119*'Staff Rates (Internal)'!B$3)+(AJ119*'Staff Rates (Internal)'!B$4)+(AK119*'Staff Rates (Internal)'!B$5)+(AL119*'Staff Rates (Internal)'!B$6)+(AM119*'Staff Rates (Internal)'!B$7)</f>
        <v>0</v>
      </c>
      <c r="AO119" s="206">
        <f>(AH119*'Staff Rates (External)'!B$2)+(AI119*'Staff Rates (External)'!B$3)+(AJ119*'Staff Rates (External)'!B$4)+(AK119*'Staff Rates (External)'!B$5)+(AL119*'Staff Rates (External)'!B$6)+(AM119*'Staff Rates (External)'!B$7)</f>
        <v>0</v>
      </c>
      <c r="AR119" s="195"/>
      <c r="AX119" s="204"/>
      <c r="AY119" s="204"/>
      <c r="AZ119" s="204"/>
      <c r="BA119" s="204"/>
      <c r="BB119" s="204"/>
      <c r="BC119" s="204"/>
      <c r="BD119" s="204"/>
      <c r="BE119" s="204"/>
      <c r="BF119" s="204"/>
      <c r="BG119" s="204"/>
      <c r="BH119" s="204"/>
      <c r="BI119" s="204"/>
      <c r="BJ119" s="204"/>
      <c r="BK119" s="204"/>
      <c r="BL119" s="204"/>
      <c r="BM119" s="204"/>
      <c r="BN119" s="204"/>
      <c r="BO119" s="204"/>
      <c r="BP119" s="204"/>
      <c r="BQ119" s="204"/>
      <c r="BR119" s="204"/>
      <c r="BS119" s="204"/>
      <c r="BT119" s="204"/>
      <c r="BU119" s="204"/>
      <c r="BV119" s="204"/>
      <c r="BW119" s="204"/>
      <c r="BX119" s="204"/>
      <c r="BY119" s="204"/>
      <c r="BZ119" s="204"/>
      <c r="CA119" s="204"/>
      <c r="CB119" s="207"/>
      <c r="CC119" s="208" t="str">
        <f t="shared" si="2"/>
        <v>Affectiva (facial coding)</v>
      </c>
      <c r="CD119" s="208">
        <f t="shared" si="3"/>
        <v>1.3</v>
      </c>
      <c r="CE119" s="203">
        <v>1.0</v>
      </c>
      <c r="CF119" s="203">
        <v>1.0</v>
      </c>
      <c r="CG119" s="203">
        <v>2.0</v>
      </c>
      <c r="CH119" s="203">
        <v>1.0</v>
      </c>
      <c r="CI119" s="203">
        <v>2.0</v>
      </c>
      <c r="CJ119" s="203">
        <v>1.0</v>
      </c>
      <c r="CK119" s="203" t="s">
        <v>43</v>
      </c>
      <c r="CL119" s="203">
        <v>2.0</v>
      </c>
      <c r="CM119" s="209">
        <v>1.0</v>
      </c>
      <c r="CN119" s="203">
        <v>1.0</v>
      </c>
      <c r="CO119" s="203">
        <v>1.0</v>
      </c>
    </row>
    <row r="120" ht="15.75" customHeight="1">
      <c r="A120" s="185" t="s">
        <v>757</v>
      </c>
      <c r="B120" s="185" t="s">
        <v>961</v>
      </c>
      <c r="C120" s="185" t="s">
        <v>968</v>
      </c>
      <c r="D120" s="185" t="s">
        <v>60</v>
      </c>
      <c r="E120" s="195" t="s">
        <v>969</v>
      </c>
      <c r="F120" s="196" t="str">
        <f t="shared" si="8"/>
        <v>RSEyeTracking - Custom</v>
      </c>
      <c r="G120" s="196" t="str">
        <f>'Ad-Hoc | Tech Add-Ons'!F25</f>
        <v>Eye tracking for ad testing, videos, social media, shelf tests, etc.
More info: https://drive.google.com/drive/folders/1_VgfzOq2to1ottuF2YQKzWzJq9AofCY1</v>
      </c>
      <c r="H120" s="197"/>
      <c r="I120" s="191"/>
      <c r="J120" s="191" t="str">
        <f>'Ad-Hoc | Tech Add-Ons'!F26</f>
        <v>Custom Quote</v>
      </c>
      <c r="K120" s="198"/>
      <c r="L120" s="198"/>
      <c r="M120" s="198"/>
      <c r="N120" s="198"/>
      <c r="O120" s="198"/>
      <c r="P120" s="198"/>
      <c r="Q120" s="198"/>
      <c r="R120" s="195"/>
      <c r="S120" s="200"/>
      <c r="T120" s="195" t="s">
        <v>765</v>
      </c>
      <c r="U120" s="195" t="s">
        <v>765</v>
      </c>
      <c r="V120" s="195" t="s">
        <v>765</v>
      </c>
      <c r="W120" s="201"/>
      <c r="X120" s="195"/>
      <c r="AC120" s="203">
        <v>6.0</v>
      </c>
      <c r="AD120" s="203">
        <v>1.0</v>
      </c>
      <c r="AE120" s="195" t="s">
        <v>857</v>
      </c>
      <c r="AF120" s="195"/>
      <c r="AH120" s="204"/>
      <c r="AI120" s="204"/>
      <c r="AJ120" s="204"/>
      <c r="AK120" s="204"/>
      <c r="AL120" s="204"/>
      <c r="AM120" s="205"/>
      <c r="AN120" s="205">
        <f>(AH120*'Staff Rates (Internal)'!B$2)+(AI120*'Staff Rates (Internal)'!B$3)+(AJ120*'Staff Rates (Internal)'!B$4)+(AK120*'Staff Rates (Internal)'!B$5)+(AL120*'Staff Rates (Internal)'!B$6)+(AM120*'Staff Rates (Internal)'!B$7)</f>
        <v>0</v>
      </c>
      <c r="AO120" s="206">
        <f>(AH120*'Staff Rates (External)'!B$2)+(AI120*'Staff Rates (External)'!B$3)+(AJ120*'Staff Rates (External)'!B$4)+(AK120*'Staff Rates (External)'!B$5)+(AL120*'Staff Rates (External)'!B$6)+(AM120*'Staff Rates (External)'!B$7)</f>
        <v>0</v>
      </c>
      <c r="AR120" s="195"/>
      <c r="AX120" s="204"/>
      <c r="AY120" s="204"/>
      <c r="AZ120" s="204"/>
      <c r="BA120" s="204"/>
      <c r="BB120" s="204"/>
      <c r="BC120" s="204"/>
      <c r="BD120" s="204"/>
      <c r="BE120" s="204"/>
      <c r="BF120" s="204"/>
      <c r="BG120" s="204"/>
      <c r="BH120" s="204"/>
      <c r="BI120" s="204"/>
      <c r="BJ120" s="204"/>
      <c r="BK120" s="204"/>
      <c r="BL120" s="204"/>
      <c r="BM120" s="204"/>
      <c r="BN120" s="204"/>
      <c r="BO120" s="204"/>
      <c r="BP120" s="204"/>
      <c r="BQ120" s="204"/>
      <c r="BR120" s="204"/>
      <c r="BS120" s="204"/>
      <c r="BT120" s="204"/>
      <c r="BU120" s="204"/>
      <c r="BV120" s="204"/>
      <c r="BW120" s="204"/>
      <c r="BX120" s="204"/>
      <c r="BY120" s="204"/>
      <c r="BZ120" s="204"/>
      <c r="CA120" s="204"/>
      <c r="CB120" s="207"/>
      <c r="CC120" s="208" t="str">
        <f t="shared" si="2"/>
        <v>EyeSquare (eye tracking)</v>
      </c>
      <c r="CD120" s="208">
        <f t="shared" si="3"/>
        <v>1.3</v>
      </c>
      <c r="CE120" s="203">
        <v>1.0</v>
      </c>
      <c r="CF120" s="203">
        <v>1.0</v>
      </c>
      <c r="CG120" s="203">
        <v>2.0</v>
      </c>
      <c r="CH120" s="203">
        <v>1.0</v>
      </c>
      <c r="CI120" s="203">
        <v>2.0</v>
      </c>
      <c r="CJ120" s="203">
        <v>1.0</v>
      </c>
      <c r="CK120" s="203" t="s">
        <v>43</v>
      </c>
      <c r="CL120" s="203">
        <v>2.0</v>
      </c>
      <c r="CM120" s="209">
        <v>1.0</v>
      </c>
      <c r="CN120" s="203">
        <v>1.0</v>
      </c>
      <c r="CO120" s="203">
        <v>1.0</v>
      </c>
    </row>
    <row r="121" ht="15.75" customHeight="1">
      <c r="A121" s="185" t="s">
        <v>757</v>
      </c>
      <c r="B121" s="185" t="s">
        <v>970</v>
      </c>
      <c r="C121" s="185" t="s">
        <v>971</v>
      </c>
      <c r="D121" s="185" t="s">
        <v>56</v>
      </c>
      <c r="E121" s="195" t="s">
        <v>972</v>
      </c>
      <c r="F121" s="196" t="str">
        <f t="shared" si="8"/>
        <v>RSScreenerDev - Standard</v>
      </c>
      <c r="G121" s="196" t="str">
        <f>'Ad-Hoc | Tech Add-Ons'!F26</f>
        <v>Custom Quote</v>
      </c>
      <c r="H121" s="197"/>
      <c r="I121" s="191"/>
      <c r="J121" s="191" t="str">
        <f>'Ad-Hoc | Qualitative'!C18</f>
        <v>Custom Quote</v>
      </c>
      <c r="K121" s="198"/>
      <c r="L121" s="198" t="s">
        <v>43</v>
      </c>
      <c r="M121" s="198" t="s">
        <v>43</v>
      </c>
      <c r="N121" s="198"/>
      <c r="O121" s="198"/>
      <c r="P121" s="198"/>
      <c r="Q121" s="198"/>
      <c r="R121" s="195" t="s">
        <v>764</v>
      </c>
      <c r="S121" s="200"/>
      <c r="T121" s="195" t="s">
        <v>765</v>
      </c>
      <c r="U121" s="195" t="s">
        <v>783</v>
      </c>
      <c r="V121" s="195" t="s">
        <v>783</v>
      </c>
      <c r="W121" s="201"/>
      <c r="X121" s="195" t="s">
        <v>973</v>
      </c>
      <c r="AC121" s="203">
        <v>5.0</v>
      </c>
      <c r="AD121" s="203">
        <v>2.0</v>
      </c>
      <c r="AE121" s="195" t="s">
        <v>974</v>
      </c>
      <c r="AF121" s="195" t="s">
        <v>768</v>
      </c>
      <c r="AH121" s="204"/>
      <c r="AI121" s="204"/>
      <c r="AJ121" s="204"/>
      <c r="AK121" s="204"/>
      <c r="AL121" s="204"/>
      <c r="AM121" s="205"/>
      <c r="AN121" s="205">
        <f>(AH121*'Staff Rates (Internal)'!B$2)+(AI121*'Staff Rates (Internal)'!B$3)+(AJ121*'Staff Rates (Internal)'!B$4)+(AK121*'Staff Rates (Internal)'!B$5)+(AL121*'Staff Rates (Internal)'!B$6)+(AM121*'Staff Rates (Internal)'!B$7)</f>
        <v>0</v>
      </c>
      <c r="AO121" s="206">
        <f>(AH121*'Staff Rates (External)'!B$2)+(AI121*'Staff Rates (External)'!B$3)+(AJ121*'Staff Rates (External)'!B$4)+(AK121*'Staff Rates (External)'!B$5)+(AL121*'Staff Rates (External)'!B$6)+(AM121*'Staff Rates (External)'!B$7)</f>
        <v>0</v>
      </c>
      <c r="AR121" s="195" t="s">
        <v>975</v>
      </c>
      <c r="AX121" s="204"/>
      <c r="AY121" s="204"/>
      <c r="AZ121" s="204"/>
      <c r="BA121" s="204"/>
      <c r="BB121" s="204"/>
      <c r="BC121" s="204"/>
      <c r="BD121" s="204"/>
      <c r="BE121" s="204"/>
      <c r="BF121" s="204"/>
      <c r="BG121" s="204"/>
      <c r="BH121" s="204"/>
      <c r="BI121" s="204"/>
      <c r="BJ121" s="204"/>
      <c r="BK121" s="204"/>
      <c r="BL121" s="204"/>
      <c r="BM121" s="204"/>
      <c r="BN121" s="204"/>
      <c r="BO121" s="204"/>
      <c r="BP121" s="204"/>
      <c r="BQ121" s="204"/>
      <c r="BR121" s="204"/>
      <c r="BS121" s="204"/>
      <c r="BT121" s="204"/>
      <c r="BU121" s="204"/>
      <c r="BV121" s="204"/>
      <c r="BW121" s="204"/>
      <c r="BX121" s="204"/>
      <c r="BY121" s="204"/>
      <c r="BZ121" s="204"/>
      <c r="CA121" s="204"/>
      <c r="CB121" s="207"/>
      <c r="CC121" s="208" t="str">
        <f t="shared" si="2"/>
        <v>Screener Development</v>
      </c>
      <c r="CD121" s="208">
        <f t="shared" si="3"/>
        <v>1.272727273</v>
      </c>
      <c r="CE121" s="203">
        <v>1.0</v>
      </c>
      <c r="CF121" s="203">
        <v>1.0</v>
      </c>
      <c r="CG121" s="203">
        <v>3.0</v>
      </c>
      <c r="CH121" s="203">
        <v>1.0</v>
      </c>
      <c r="CI121" s="203">
        <v>1.0</v>
      </c>
      <c r="CJ121" s="203">
        <v>1.0</v>
      </c>
      <c r="CK121" s="203">
        <v>1.0</v>
      </c>
      <c r="CL121" s="203">
        <v>2.0</v>
      </c>
      <c r="CM121" s="209">
        <v>1.0</v>
      </c>
      <c r="CN121" s="203">
        <v>1.0</v>
      </c>
      <c r="CO121" s="203">
        <v>1.0</v>
      </c>
    </row>
    <row r="122" ht="15.75" customHeight="1">
      <c r="A122" s="185" t="s">
        <v>757</v>
      </c>
      <c r="B122" s="185" t="s">
        <v>970</v>
      </c>
      <c r="C122" s="185" t="s">
        <v>976</v>
      </c>
      <c r="D122" s="185" t="s">
        <v>56</v>
      </c>
      <c r="E122" s="195" t="s">
        <v>977</v>
      </c>
      <c r="F122" s="196" t="str">
        <f t="shared" si="8"/>
        <v>RSDiscGuideDev - Standard</v>
      </c>
      <c r="G122" s="196" t="str">
        <f>'Ad-Hoc | Qualitative'!C21</f>
        <v>Creation of a discussion guide for IDIs, focus groups, or other qualitative research</v>
      </c>
      <c r="H122" s="197"/>
      <c r="I122" s="191"/>
      <c r="J122" s="191" t="str">
        <f>'Ad-Hoc | Qualitative'!C22</f>
        <v>Custom Quote</v>
      </c>
      <c r="K122" s="198"/>
      <c r="L122" s="198" t="s">
        <v>43</v>
      </c>
      <c r="M122" s="198" t="s">
        <v>43</v>
      </c>
      <c r="N122" s="198"/>
      <c r="O122" s="198"/>
      <c r="P122" s="198"/>
      <c r="Q122" s="198"/>
      <c r="R122" s="195" t="s">
        <v>764</v>
      </c>
      <c r="S122" s="200"/>
      <c r="T122" s="195" t="s">
        <v>765</v>
      </c>
      <c r="U122" s="195" t="s">
        <v>783</v>
      </c>
      <c r="V122" s="195" t="s">
        <v>783</v>
      </c>
      <c r="W122" s="201"/>
      <c r="X122" s="195" t="s">
        <v>973</v>
      </c>
      <c r="AC122" s="203">
        <v>5.0</v>
      </c>
      <c r="AD122" s="203">
        <v>2.0</v>
      </c>
      <c r="AE122" s="195" t="s">
        <v>974</v>
      </c>
      <c r="AF122" s="195" t="s">
        <v>768</v>
      </c>
      <c r="AH122" s="204"/>
      <c r="AI122" s="204"/>
      <c r="AJ122" s="204"/>
      <c r="AK122" s="204"/>
      <c r="AL122" s="204"/>
      <c r="AM122" s="205"/>
      <c r="AN122" s="205">
        <f>(AH122*'Staff Rates (Internal)'!B$2)+(AI122*'Staff Rates (Internal)'!B$3)+(AJ122*'Staff Rates (Internal)'!B$4)+(AK122*'Staff Rates (Internal)'!B$5)+(AL122*'Staff Rates (Internal)'!B$6)+(AM122*'Staff Rates (Internal)'!B$7)</f>
        <v>0</v>
      </c>
      <c r="AO122" s="206">
        <f>(AH122*'Staff Rates (External)'!B$2)+(AI122*'Staff Rates (External)'!B$3)+(AJ122*'Staff Rates (External)'!B$4)+(AK122*'Staff Rates (External)'!B$5)+(AL122*'Staff Rates (External)'!B$6)+(AM122*'Staff Rates (External)'!B$7)</f>
        <v>0</v>
      </c>
      <c r="AR122" s="195" t="s">
        <v>975</v>
      </c>
      <c r="AX122" s="204"/>
      <c r="AY122" s="204"/>
      <c r="AZ122" s="204"/>
      <c r="BA122" s="204"/>
      <c r="BB122" s="204"/>
      <c r="BC122" s="204"/>
      <c r="BD122" s="204"/>
      <c r="BE122" s="204"/>
      <c r="BF122" s="204"/>
      <c r="BG122" s="204"/>
      <c r="BH122" s="204"/>
      <c r="BI122" s="204"/>
      <c r="BJ122" s="204"/>
      <c r="BK122" s="204"/>
      <c r="BL122" s="204"/>
      <c r="BM122" s="204"/>
      <c r="BN122" s="204"/>
      <c r="BO122" s="204"/>
      <c r="BP122" s="204"/>
      <c r="BQ122" s="204"/>
      <c r="BR122" s="204"/>
      <c r="BS122" s="204"/>
      <c r="BT122" s="204"/>
      <c r="BU122" s="204"/>
      <c r="BV122" s="204"/>
      <c r="BW122" s="204"/>
      <c r="BX122" s="204"/>
      <c r="BY122" s="204"/>
      <c r="BZ122" s="204"/>
      <c r="CA122" s="204"/>
      <c r="CB122" s="207"/>
      <c r="CC122" s="208" t="str">
        <f t="shared" si="2"/>
        <v>Discussion Guide Development</v>
      </c>
      <c r="CD122" s="208">
        <f t="shared" si="3"/>
        <v>1.272727273</v>
      </c>
      <c r="CE122" s="203">
        <v>1.0</v>
      </c>
      <c r="CF122" s="203">
        <v>1.0</v>
      </c>
      <c r="CG122" s="203">
        <v>3.0</v>
      </c>
      <c r="CH122" s="203">
        <v>1.0</v>
      </c>
      <c r="CI122" s="203">
        <v>1.0</v>
      </c>
      <c r="CJ122" s="203">
        <v>1.0</v>
      </c>
      <c r="CK122" s="203">
        <v>1.0</v>
      </c>
      <c r="CL122" s="203">
        <v>2.0</v>
      </c>
      <c r="CM122" s="209">
        <v>1.0</v>
      </c>
      <c r="CN122" s="203">
        <v>1.0</v>
      </c>
      <c r="CO122" s="203">
        <v>1.0</v>
      </c>
    </row>
    <row r="123" ht="15.75" customHeight="1">
      <c r="A123" s="185" t="s">
        <v>757</v>
      </c>
      <c r="B123" s="185" t="s">
        <v>970</v>
      </c>
      <c r="C123" s="185" t="s">
        <v>978</v>
      </c>
      <c r="D123" s="185" t="s">
        <v>56</v>
      </c>
      <c r="E123" s="195" t="s">
        <v>979</v>
      </c>
      <c r="F123" s="196" t="str">
        <f t="shared" si="8"/>
        <v>RSPhoneWebInterview - Standard</v>
      </c>
      <c r="G123" s="196" t="str">
        <f>'Ad-Hoc | Qualitative'!C25</f>
        <v>Professional moderation of telephone or web 1:1 interviews, based on a discussion guide</v>
      </c>
      <c r="H123" s="197"/>
      <c r="I123" s="191"/>
      <c r="J123" s="191" t="str">
        <f>'Ad-Hoc | Qualitative'!C26</f>
        <v>Custom Quote</v>
      </c>
      <c r="K123" s="198"/>
      <c r="L123" s="198" t="s">
        <v>43</v>
      </c>
      <c r="M123" s="198" t="s">
        <v>43</v>
      </c>
      <c r="N123" s="198"/>
      <c r="O123" s="198"/>
      <c r="P123" s="198"/>
      <c r="Q123" s="198"/>
      <c r="R123" s="195" t="s">
        <v>764</v>
      </c>
      <c r="S123" s="200"/>
      <c r="T123" s="195" t="s">
        <v>765</v>
      </c>
      <c r="U123" s="195" t="s">
        <v>783</v>
      </c>
      <c r="V123" s="195" t="s">
        <v>783</v>
      </c>
      <c r="W123" s="201"/>
      <c r="X123" s="195" t="s">
        <v>973</v>
      </c>
      <c r="AC123" s="203">
        <v>5.0</v>
      </c>
      <c r="AD123" s="203">
        <v>2.0</v>
      </c>
      <c r="AE123" s="195" t="s">
        <v>980</v>
      </c>
      <c r="AF123" s="195" t="s">
        <v>768</v>
      </c>
      <c r="AH123" s="204"/>
      <c r="AI123" s="204"/>
      <c r="AJ123" s="204"/>
      <c r="AK123" s="204"/>
      <c r="AL123" s="204"/>
      <c r="AM123" s="205"/>
      <c r="AN123" s="205">
        <f>(AH123*'Staff Rates (Internal)'!B$2)+(AI123*'Staff Rates (Internal)'!B$3)+(AJ123*'Staff Rates (Internal)'!B$4)+(AK123*'Staff Rates (Internal)'!B$5)+(AL123*'Staff Rates (Internal)'!B$6)+(AM123*'Staff Rates (Internal)'!B$7)</f>
        <v>0</v>
      </c>
      <c r="AO123" s="206">
        <f>(AH123*'Staff Rates (External)'!B$2)+(AI123*'Staff Rates (External)'!B$3)+(AJ123*'Staff Rates (External)'!B$4)+(AK123*'Staff Rates (External)'!B$5)+(AL123*'Staff Rates (External)'!B$6)+(AM123*'Staff Rates (External)'!B$7)</f>
        <v>0</v>
      </c>
      <c r="AR123" s="195" t="s">
        <v>975</v>
      </c>
      <c r="AX123" s="204"/>
      <c r="AY123" s="204"/>
      <c r="AZ123" s="204"/>
      <c r="BA123" s="204"/>
      <c r="BB123" s="204"/>
      <c r="BC123" s="204"/>
      <c r="BD123" s="204"/>
      <c r="BE123" s="204"/>
      <c r="BF123" s="204"/>
      <c r="BG123" s="204"/>
      <c r="BH123" s="204"/>
      <c r="BI123" s="204"/>
      <c r="BJ123" s="204"/>
      <c r="BK123" s="204"/>
      <c r="BL123" s="204"/>
      <c r="BM123" s="204"/>
      <c r="BN123" s="204"/>
      <c r="BO123" s="204"/>
      <c r="BP123" s="204"/>
      <c r="BQ123" s="204"/>
      <c r="BR123" s="204"/>
      <c r="BS123" s="204"/>
      <c r="BT123" s="204"/>
      <c r="BU123" s="204"/>
      <c r="BV123" s="204"/>
      <c r="BW123" s="204"/>
      <c r="BX123" s="204"/>
      <c r="BY123" s="204"/>
      <c r="BZ123" s="204"/>
      <c r="CA123" s="204"/>
      <c r="CB123" s="207"/>
      <c r="CC123" s="208" t="str">
        <f t="shared" si="2"/>
        <v>Moderation - Phone/Web 1:1s</v>
      </c>
      <c r="CD123" s="208">
        <f t="shared" si="3"/>
        <v>1.272727273</v>
      </c>
      <c r="CE123" s="203">
        <v>1.0</v>
      </c>
      <c r="CF123" s="203">
        <v>1.0</v>
      </c>
      <c r="CG123" s="203">
        <v>3.0</v>
      </c>
      <c r="CH123" s="203">
        <v>1.0</v>
      </c>
      <c r="CI123" s="203">
        <v>1.0</v>
      </c>
      <c r="CJ123" s="203">
        <v>1.0</v>
      </c>
      <c r="CK123" s="203">
        <v>1.0</v>
      </c>
      <c r="CL123" s="203">
        <v>2.0</v>
      </c>
      <c r="CM123" s="209">
        <v>1.0</v>
      </c>
      <c r="CN123" s="203">
        <v>1.0</v>
      </c>
      <c r="CO123" s="203">
        <v>1.0</v>
      </c>
    </row>
    <row r="124" ht="15.75" customHeight="1">
      <c r="A124" s="185" t="s">
        <v>757</v>
      </c>
      <c r="B124" s="185" t="s">
        <v>970</v>
      </c>
      <c r="C124" s="185" t="s">
        <v>981</v>
      </c>
      <c r="D124" s="185" t="s">
        <v>56</v>
      </c>
      <c r="E124" s="195" t="s">
        <v>982</v>
      </c>
      <c r="F124" s="196" t="str">
        <f t="shared" si="8"/>
        <v>RServInPersonPres - Standard</v>
      </c>
      <c r="G124" s="196" t="str">
        <f>'Ad-Hoc | Qualitative'!C29</f>
        <v>Professional moderation of in-person interviews, based on a discussion guide. Moderator travel and expenses not included.</v>
      </c>
      <c r="H124" s="197"/>
      <c r="I124" s="191"/>
      <c r="J124" s="191" t="str">
        <f>'Ad-Hoc | Qualitative'!C30</f>
        <v>Custom Quote</v>
      </c>
      <c r="K124" s="198"/>
      <c r="L124" s="198" t="s">
        <v>43</v>
      </c>
      <c r="M124" s="198" t="s">
        <v>43</v>
      </c>
      <c r="N124" s="198"/>
      <c r="O124" s="198"/>
      <c r="P124" s="198"/>
      <c r="Q124" s="198"/>
      <c r="R124" s="195" t="s">
        <v>764</v>
      </c>
      <c r="S124" s="200"/>
      <c r="T124" s="195" t="s">
        <v>783</v>
      </c>
      <c r="U124" s="195" t="s">
        <v>783</v>
      </c>
      <c r="V124" s="195" t="s">
        <v>783</v>
      </c>
      <c r="W124" s="201"/>
      <c r="X124" s="195" t="s">
        <v>973</v>
      </c>
      <c r="AC124" s="203">
        <v>5.0</v>
      </c>
      <c r="AD124" s="203">
        <v>2.0</v>
      </c>
      <c r="AE124" s="195" t="s">
        <v>983</v>
      </c>
      <c r="AF124" s="195" t="s">
        <v>768</v>
      </c>
      <c r="AH124" s="204"/>
      <c r="AI124" s="204"/>
      <c r="AJ124" s="204"/>
      <c r="AK124" s="204"/>
      <c r="AL124" s="204"/>
      <c r="AM124" s="205"/>
      <c r="AN124" s="205">
        <f>(AH124*'Staff Rates (Internal)'!B$2)+(AI124*'Staff Rates (Internal)'!B$3)+(AJ124*'Staff Rates (Internal)'!B$4)+(AK124*'Staff Rates (Internal)'!B$5)+(AL124*'Staff Rates (Internal)'!B$6)+(AM124*'Staff Rates (Internal)'!B$7)</f>
        <v>0</v>
      </c>
      <c r="AO124" s="206">
        <f>(AH124*'Staff Rates (External)'!B$2)+(AI124*'Staff Rates (External)'!B$3)+(AJ124*'Staff Rates (External)'!B$4)+(AK124*'Staff Rates (External)'!B$5)+(AL124*'Staff Rates (External)'!B$6)+(AM124*'Staff Rates (External)'!B$7)</f>
        <v>0</v>
      </c>
      <c r="AR124" s="195" t="s">
        <v>975</v>
      </c>
      <c r="AX124" s="204"/>
      <c r="AY124" s="204"/>
      <c r="AZ124" s="204"/>
      <c r="BA124" s="204"/>
      <c r="BB124" s="204"/>
      <c r="BC124" s="204"/>
      <c r="BD124" s="204"/>
      <c r="BE124" s="204"/>
      <c r="BF124" s="204"/>
      <c r="BG124" s="204"/>
      <c r="BH124" s="204"/>
      <c r="BI124" s="204"/>
      <c r="BJ124" s="204"/>
      <c r="BK124" s="204"/>
      <c r="BL124" s="204"/>
      <c r="BM124" s="204"/>
      <c r="BN124" s="204"/>
      <c r="BO124" s="204"/>
      <c r="BP124" s="204"/>
      <c r="BQ124" s="204"/>
      <c r="BR124" s="204"/>
      <c r="BS124" s="204"/>
      <c r="BT124" s="204"/>
      <c r="BU124" s="204"/>
      <c r="BV124" s="204"/>
      <c r="BW124" s="204"/>
      <c r="BX124" s="204"/>
      <c r="BY124" s="204"/>
      <c r="BZ124" s="204"/>
      <c r="CA124" s="204"/>
      <c r="CB124" s="207"/>
      <c r="CC124" s="208" t="str">
        <f t="shared" si="2"/>
        <v>Moderation - In-Person 1:1s / Ethnographies</v>
      </c>
      <c r="CD124" s="208">
        <f t="shared" si="3"/>
        <v>1.272727273</v>
      </c>
      <c r="CE124" s="203">
        <v>1.0</v>
      </c>
      <c r="CF124" s="203">
        <v>1.0</v>
      </c>
      <c r="CG124" s="203">
        <v>3.0</v>
      </c>
      <c r="CH124" s="203">
        <v>1.0</v>
      </c>
      <c r="CI124" s="203">
        <v>1.0</v>
      </c>
      <c r="CJ124" s="203">
        <v>1.0</v>
      </c>
      <c r="CK124" s="203">
        <v>1.0</v>
      </c>
      <c r="CL124" s="203">
        <v>2.0</v>
      </c>
      <c r="CM124" s="209">
        <v>1.0</v>
      </c>
      <c r="CN124" s="203">
        <v>1.0</v>
      </c>
      <c r="CO124" s="203">
        <v>1.0</v>
      </c>
    </row>
    <row r="125" ht="15.75" customHeight="1">
      <c r="A125" s="185" t="s">
        <v>757</v>
      </c>
      <c r="B125" s="185" t="s">
        <v>970</v>
      </c>
      <c r="C125" s="185" t="s">
        <v>984</v>
      </c>
      <c r="D125" s="185" t="s">
        <v>56</v>
      </c>
      <c r="E125" s="195" t="s">
        <v>985</v>
      </c>
      <c r="F125" s="196" t="str">
        <f t="shared" si="8"/>
        <v>RServFocusGrp - Standard</v>
      </c>
      <c r="G125" s="196" t="str">
        <f>'Ad-Hoc | Qualitative'!C33</f>
        <v>Professional moderation of in-person focus groups, based on a discussion guide. Moderator travel and expenses not included.</v>
      </c>
      <c r="H125" s="197"/>
      <c r="I125" s="191"/>
      <c r="J125" s="191" t="str">
        <f>'Ad-Hoc | Qualitative'!C34</f>
        <v>Custom Quote</v>
      </c>
      <c r="K125" s="198"/>
      <c r="L125" s="198" t="s">
        <v>43</v>
      </c>
      <c r="M125" s="198" t="s">
        <v>43</v>
      </c>
      <c r="N125" s="198"/>
      <c r="O125" s="198"/>
      <c r="P125" s="198"/>
      <c r="Q125" s="198"/>
      <c r="R125" s="195" t="s">
        <v>764</v>
      </c>
      <c r="S125" s="200"/>
      <c r="T125" s="195" t="s">
        <v>783</v>
      </c>
      <c r="U125" s="195" t="s">
        <v>783</v>
      </c>
      <c r="V125" s="195" t="s">
        <v>783</v>
      </c>
      <c r="W125" s="201"/>
      <c r="X125" s="195" t="s">
        <v>973</v>
      </c>
      <c r="AC125" s="203">
        <v>5.0</v>
      </c>
      <c r="AD125" s="203">
        <v>2.0</v>
      </c>
      <c r="AE125" s="195" t="s">
        <v>974</v>
      </c>
      <c r="AF125" s="195" t="s">
        <v>768</v>
      </c>
      <c r="AH125" s="204"/>
      <c r="AI125" s="204"/>
      <c r="AJ125" s="204"/>
      <c r="AK125" s="204"/>
      <c r="AL125" s="204"/>
      <c r="AM125" s="205"/>
      <c r="AN125" s="205">
        <f>(AH125*'Staff Rates (Internal)'!B$2)+(AI125*'Staff Rates (Internal)'!B$3)+(AJ125*'Staff Rates (Internal)'!B$4)+(AK125*'Staff Rates (Internal)'!B$5)+(AL125*'Staff Rates (Internal)'!B$6)+(AM125*'Staff Rates (Internal)'!B$7)</f>
        <v>0</v>
      </c>
      <c r="AO125" s="206">
        <f>(AH125*'Staff Rates (External)'!B$2)+(AI125*'Staff Rates (External)'!B$3)+(AJ125*'Staff Rates (External)'!B$4)+(AK125*'Staff Rates (External)'!B$5)+(AL125*'Staff Rates (External)'!B$6)+(AM125*'Staff Rates (External)'!B$7)</f>
        <v>0</v>
      </c>
      <c r="AR125" s="195" t="s">
        <v>975</v>
      </c>
      <c r="AX125" s="204"/>
      <c r="AY125" s="204"/>
      <c r="AZ125" s="204"/>
      <c r="BA125" s="204"/>
      <c r="BB125" s="204"/>
      <c r="BC125" s="204"/>
      <c r="BD125" s="204"/>
      <c r="BE125" s="204"/>
      <c r="BF125" s="204"/>
      <c r="BG125" s="204"/>
      <c r="BH125" s="204"/>
      <c r="BI125" s="204"/>
      <c r="BJ125" s="204"/>
      <c r="BK125" s="204"/>
      <c r="BL125" s="204"/>
      <c r="BM125" s="204"/>
      <c r="BN125" s="204"/>
      <c r="BO125" s="204"/>
      <c r="BP125" s="204"/>
      <c r="BQ125" s="204"/>
      <c r="BR125" s="204"/>
      <c r="BS125" s="204"/>
      <c r="BT125" s="204"/>
      <c r="BU125" s="204"/>
      <c r="BV125" s="204"/>
      <c r="BW125" s="204"/>
      <c r="BX125" s="204"/>
      <c r="BY125" s="204"/>
      <c r="BZ125" s="204"/>
      <c r="CA125" s="204"/>
      <c r="CB125" s="207"/>
      <c r="CC125" s="208" t="str">
        <f t="shared" si="2"/>
        <v>Moderation - Focus Groups</v>
      </c>
      <c r="CD125" s="208">
        <f t="shared" si="3"/>
        <v>1.272727273</v>
      </c>
      <c r="CE125" s="203">
        <v>1.0</v>
      </c>
      <c r="CF125" s="203">
        <v>1.0</v>
      </c>
      <c r="CG125" s="203">
        <v>3.0</v>
      </c>
      <c r="CH125" s="203">
        <v>1.0</v>
      </c>
      <c r="CI125" s="203">
        <v>1.0</v>
      </c>
      <c r="CJ125" s="203">
        <v>1.0</v>
      </c>
      <c r="CK125" s="203">
        <v>1.0</v>
      </c>
      <c r="CL125" s="203">
        <v>2.0</v>
      </c>
      <c r="CM125" s="209">
        <v>1.0</v>
      </c>
      <c r="CN125" s="203">
        <v>1.0</v>
      </c>
      <c r="CO125" s="203">
        <v>1.0</v>
      </c>
    </row>
    <row r="126" ht="15.75" customHeight="1">
      <c r="A126" s="185" t="s">
        <v>757</v>
      </c>
      <c r="B126" s="185" t="s">
        <v>970</v>
      </c>
      <c r="C126" s="185" t="s">
        <v>986</v>
      </c>
      <c r="D126" s="185" t="s">
        <v>56</v>
      </c>
      <c r="E126" s="195" t="s">
        <v>987</v>
      </c>
      <c r="F126" s="196" t="str">
        <f t="shared" si="8"/>
        <v>RSTranscription - Standard</v>
      </c>
      <c r="G126" s="196" t="str">
        <f>'Ad-Hoc | Qualitative'!C37</f>
        <v>Transcription of audio recordings to text files. Provided in English.</v>
      </c>
      <c r="H126" s="197"/>
      <c r="I126" s="191"/>
      <c r="J126" s="191" t="str">
        <f>'Ad-Hoc | Qualitative'!C38</f>
        <v>Custom Quote</v>
      </c>
      <c r="K126" s="198"/>
      <c r="L126" s="198" t="s">
        <v>43</v>
      </c>
      <c r="M126" s="198" t="s">
        <v>43</v>
      </c>
      <c r="N126" s="198"/>
      <c r="O126" s="198"/>
      <c r="P126" s="198"/>
      <c r="Q126" s="198"/>
      <c r="R126" s="195" t="s">
        <v>764</v>
      </c>
      <c r="S126" s="200"/>
      <c r="T126" s="195" t="s">
        <v>765</v>
      </c>
      <c r="U126" s="195" t="s">
        <v>783</v>
      </c>
      <c r="V126" s="195" t="s">
        <v>783</v>
      </c>
      <c r="W126" s="201"/>
      <c r="X126" s="195" t="s">
        <v>973</v>
      </c>
      <c r="AC126" s="203">
        <v>5.0</v>
      </c>
      <c r="AD126" s="203">
        <v>2.0</v>
      </c>
      <c r="AE126" s="195" t="s">
        <v>980</v>
      </c>
      <c r="AF126" s="195" t="s">
        <v>768</v>
      </c>
      <c r="AH126" s="204"/>
      <c r="AI126" s="204"/>
      <c r="AJ126" s="204"/>
      <c r="AK126" s="204"/>
      <c r="AL126" s="204"/>
      <c r="AM126" s="205"/>
      <c r="AN126" s="205">
        <f>(AH126*'Staff Rates (Internal)'!B$2)+(AI126*'Staff Rates (Internal)'!B$3)+(AJ126*'Staff Rates (Internal)'!B$4)+(AK126*'Staff Rates (Internal)'!B$5)+(AL126*'Staff Rates (Internal)'!B$6)+(AM126*'Staff Rates (Internal)'!B$7)</f>
        <v>0</v>
      </c>
      <c r="AO126" s="206">
        <f>(AH126*'Staff Rates (External)'!B$2)+(AI126*'Staff Rates (External)'!B$3)+(AJ126*'Staff Rates (External)'!B$4)+(AK126*'Staff Rates (External)'!B$5)+(AL126*'Staff Rates (External)'!B$6)+(AM126*'Staff Rates (External)'!B$7)</f>
        <v>0</v>
      </c>
      <c r="AX126" s="204"/>
      <c r="AY126" s="204"/>
      <c r="AZ126" s="204"/>
      <c r="BA126" s="204"/>
      <c r="BB126" s="204"/>
      <c r="BC126" s="204"/>
      <c r="BD126" s="204"/>
      <c r="BE126" s="204"/>
      <c r="BF126" s="204"/>
      <c r="BG126" s="204"/>
      <c r="BH126" s="204"/>
      <c r="BI126" s="204"/>
      <c r="BJ126" s="204"/>
      <c r="BK126" s="204"/>
      <c r="BL126" s="204"/>
      <c r="BM126" s="204"/>
      <c r="BN126" s="204"/>
      <c r="BO126" s="204"/>
      <c r="BP126" s="204"/>
      <c r="BQ126" s="204"/>
      <c r="BR126" s="204"/>
      <c r="BS126" s="204"/>
      <c r="BT126" s="204"/>
      <c r="BU126" s="204"/>
      <c r="BV126" s="204"/>
      <c r="BW126" s="204"/>
      <c r="BX126" s="204"/>
      <c r="BY126" s="204"/>
      <c r="BZ126" s="204"/>
      <c r="CA126" s="204"/>
      <c r="CB126" s="207"/>
      <c r="CC126" s="208" t="str">
        <f t="shared" si="2"/>
        <v>Transcription</v>
      </c>
      <c r="CD126" s="208">
        <f t="shared" si="3"/>
        <v>1.272727273</v>
      </c>
      <c r="CE126" s="203">
        <v>1.0</v>
      </c>
      <c r="CF126" s="203">
        <v>1.0</v>
      </c>
      <c r="CG126" s="203">
        <v>3.0</v>
      </c>
      <c r="CH126" s="203">
        <v>1.0</v>
      </c>
      <c r="CI126" s="203">
        <v>1.0</v>
      </c>
      <c r="CJ126" s="203">
        <v>1.0</v>
      </c>
      <c r="CK126" s="203">
        <v>1.0</v>
      </c>
      <c r="CL126" s="203">
        <v>2.0</v>
      </c>
      <c r="CM126" s="209">
        <v>1.0</v>
      </c>
      <c r="CN126" s="203">
        <v>1.0</v>
      </c>
      <c r="CO126" s="203">
        <v>1.0</v>
      </c>
    </row>
    <row r="127" ht="15.75" customHeight="1">
      <c r="A127" s="185" t="s">
        <v>757</v>
      </c>
      <c r="B127" s="185" t="s">
        <v>970</v>
      </c>
      <c r="C127" s="185" t="s">
        <v>988</v>
      </c>
      <c r="D127" s="185" t="s">
        <v>56</v>
      </c>
      <c r="E127" s="195" t="s">
        <v>989</v>
      </c>
      <c r="F127" s="196" t="str">
        <f t="shared" si="8"/>
        <v>RSFacility - Standard</v>
      </c>
      <c r="G127" s="196" t="str">
        <f>'Ad-Hoc | Qualitative'!C41</f>
        <v>Rental of a room for focus groups on in-person qualitative research</v>
      </c>
      <c r="H127" s="197"/>
      <c r="I127" s="191"/>
      <c r="J127" s="191" t="str">
        <f>'Ad-Hoc | Qualitative'!C42</f>
        <v>Custom Quote</v>
      </c>
      <c r="K127" s="198"/>
      <c r="L127" s="198" t="s">
        <v>43</v>
      </c>
      <c r="M127" s="198" t="s">
        <v>43</v>
      </c>
      <c r="N127" s="198"/>
      <c r="O127" s="198"/>
      <c r="P127" s="198"/>
      <c r="Q127" s="198"/>
      <c r="R127" s="195" t="s">
        <v>764</v>
      </c>
      <c r="S127" s="200"/>
      <c r="T127" s="195" t="s">
        <v>783</v>
      </c>
      <c r="U127" s="195" t="s">
        <v>783</v>
      </c>
      <c r="V127" s="195" t="s">
        <v>783</v>
      </c>
      <c r="W127" s="201"/>
      <c r="X127" s="195" t="s">
        <v>973</v>
      </c>
      <c r="AC127" s="203">
        <v>5.0</v>
      </c>
      <c r="AD127" s="203">
        <v>2.0</v>
      </c>
      <c r="AE127" s="195" t="s">
        <v>974</v>
      </c>
      <c r="AF127" s="195" t="s">
        <v>768</v>
      </c>
      <c r="AH127" s="204"/>
      <c r="AI127" s="204"/>
      <c r="AJ127" s="204"/>
      <c r="AK127" s="204"/>
      <c r="AL127" s="204"/>
      <c r="AM127" s="205"/>
      <c r="AN127" s="205">
        <f>(AH127*'Staff Rates (Internal)'!B$2)+(AI127*'Staff Rates (Internal)'!B$3)+(AJ127*'Staff Rates (Internal)'!B$4)+(AK127*'Staff Rates (Internal)'!B$5)+(AL127*'Staff Rates (Internal)'!B$6)+(AM127*'Staff Rates (Internal)'!B$7)</f>
        <v>0</v>
      </c>
      <c r="AO127" s="206">
        <f>(AH127*'Staff Rates (External)'!B$2)+(AI127*'Staff Rates (External)'!B$3)+(AJ127*'Staff Rates (External)'!B$4)+(AK127*'Staff Rates (External)'!B$5)+(AL127*'Staff Rates (External)'!B$6)+(AM127*'Staff Rates (External)'!B$7)</f>
        <v>0</v>
      </c>
      <c r="AX127" s="204"/>
      <c r="AY127" s="204"/>
      <c r="AZ127" s="204"/>
      <c r="BA127" s="204"/>
      <c r="BB127" s="204"/>
      <c r="BC127" s="204"/>
      <c r="BD127" s="204"/>
      <c r="BE127" s="204"/>
      <c r="BF127" s="204"/>
      <c r="BG127" s="204"/>
      <c r="BH127" s="204"/>
      <c r="BI127" s="204"/>
      <c r="BJ127" s="204"/>
      <c r="BK127" s="204"/>
      <c r="BL127" s="204"/>
      <c r="BM127" s="204"/>
      <c r="BN127" s="204"/>
      <c r="BO127" s="204"/>
      <c r="BP127" s="204"/>
      <c r="BQ127" s="204"/>
      <c r="BR127" s="204"/>
      <c r="BS127" s="204"/>
      <c r="BT127" s="204"/>
      <c r="BU127" s="204"/>
      <c r="BV127" s="204"/>
      <c r="BW127" s="204"/>
      <c r="BX127" s="204"/>
      <c r="BY127" s="204"/>
      <c r="BZ127" s="204"/>
      <c r="CA127" s="204"/>
      <c r="CB127" s="207"/>
      <c r="CC127" s="208" t="str">
        <f t="shared" si="2"/>
        <v>Facility / Room Rental</v>
      </c>
      <c r="CD127" s="208">
        <f t="shared" si="3"/>
        <v>1.272727273</v>
      </c>
      <c r="CE127" s="203">
        <v>1.0</v>
      </c>
      <c r="CF127" s="203">
        <v>1.0</v>
      </c>
      <c r="CG127" s="203">
        <v>3.0</v>
      </c>
      <c r="CH127" s="203">
        <v>1.0</v>
      </c>
      <c r="CI127" s="203">
        <v>1.0</v>
      </c>
      <c r="CJ127" s="203">
        <v>1.0</v>
      </c>
      <c r="CK127" s="203">
        <v>1.0</v>
      </c>
      <c r="CL127" s="203">
        <v>2.0</v>
      </c>
      <c r="CM127" s="209">
        <v>1.0</v>
      </c>
      <c r="CN127" s="203">
        <v>1.0</v>
      </c>
      <c r="CO127" s="203">
        <v>1.0</v>
      </c>
    </row>
    <row r="128" ht="15.75" customHeight="1">
      <c r="A128" s="185" t="s">
        <v>757</v>
      </c>
      <c r="B128" s="185" t="s">
        <v>970</v>
      </c>
      <c r="C128" s="185" t="s">
        <v>990</v>
      </c>
      <c r="D128" s="185" t="s">
        <v>56</v>
      </c>
      <c r="E128" s="195" t="s">
        <v>991</v>
      </c>
      <c r="F128" s="196" t="str">
        <f t="shared" si="8"/>
        <v>RServPanelHealth - Standard</v>
      </c>
      <c r="G128" s="196" t="str">
        <f>'Ad-Hoc | Qualitative'!C45</f>
        <v>Management of an existing community, housed on an external platform such as FuelCycle or Krealinks. This is for community management only - recruitment, creation of community surveys or qualitative activities, moderation, and incentives would be extra.</v>
      </c>
      <c r="H128" s="197"/>
      <c r="I128" s="191"/>
      <c r="J128" s="191" t="str">
        <f>'Ad-Hoc | Qualitative'!C46</f>
        <v>Custom Quote</v>
      </c>
      <c r="K128" s="198"/>
      <c r="L128" s="198" t="s">
        <v>43</v>
      </c>
      <c r="M128" s="198" t="s">
        <v>43</v>
      </c>
      <c r="N128" s="198"/>
      <c r="O128" s="198"/>
      <c r="P128" s="198"/>
      <c r="Q128" s="198"/>
      <c r="R128" s="195" t="s">
        <v>764</v>
      </c>
      <c r="S128" s="200"/>
      <c r="T128" s="195" t="s">
        <v>765</v>
      </c>
      <c r="U128" s="195" t="s">
        <v>783</v>
      </c>
      <c r="V128" s="195" t="s">
        <v>783</v>
      </c>
      <c r="W128" s="201"/>
      <c r="X128" s="195" t="s">
        <v>973</v>
      </c>
      <c r="AC128" s="203">
        <v>5.0</v>
      </c>
      <c r="AD128" s="203">
        <v>2.0</v>
      </c>
      <c r="AE128" s="195" t="s">
        <v>992</v>
      </c>
      <c r="AF128" s="195" t="s">
        <v>993</v>
      </c>
      <c r="AH128" s="204"/>
      <c r="AI128" s="204"/>
      <c r="AJ128" s="204"/>
      <c r="AK128" s="204"/>
      <c r="AL128" s="204"/>
      <c r="AM128" s="205"/>
      <c r="AN128" s="205">
        <f>(AH128*'Staff Rates (Internal)'!B$2)+(AI128*'Staff Rates (Internal)'!B$3)+(AJ128*'Staff Rates (Internal)'!B$4)+(AK128*'Staff Rates (Internal)'!B$5)+(AL128*'Staff Rates (Internal)'!B$6)+(AM128*'Staff Rates (Internal)'!B$7)</f>
        <v>0</v>
      </c>
      <c r="AO128" s="206">
        <f>(AH128*'Staff Rates (External)'!B$2)+(AI128*'Staff Rates (External)'!B$3)+(AJ128*'Staff Rates (External)'!B$4)+(AK128*'Staff Rates (External)'!B$5)+(AL128*'Staff Rates (External)'!B$6)+(AM128*'Staff Rates (External)'!B$7)</f>
        <v>0</v>
      </c>
      <c r="AR128" s="195" t="s">
        <v>43</v>
      </c>
      <c r="AS128" s="195" t="s">
        <v>43</v>
      </c>
      <c r="AU128" s="195" t="s">
        <v>994</v>
      </c>
      <c r="AV128" s="195" t="s">
        <v>995</v>
      </c>
      <c r="AX128" s="204"/>
      <c r="AY128" s="204"/>
      <c r="AZ128" s="204"/>
      <c r="BA128" s="204"/>
      <c r="BB128" s="204"/>
      <c r="BC128" s="204"/>
      <c r="BD128" s="204"/>
      <c r="BE128" s="204"/>
      <c r="BF128" s="204"/>
      <c r="BG128" s="204"/>
      <c r="BH128" s="204"/>
      <c r="BI128" s="204"/>
      <c r="BJ128" s="204"/>
      <c r="BK128" s="204"/>
      <c r="BL128" s="204"/>
      <c r="BM128" s="204"/>
      <c r="BN128" s="204"/>
      <c r="BO128" s="204"/>
      <c r="BP128" s="204"/>
      <c r="BQ128" s="204"/>
      <c r="BR128" s="204"/>
      <c r="BS128" s="204"/>
      <c r="BT128" s="204"/>
      <c r="BU128" s="204"/>
      <c r="BV128" s="204"/>
      <c r="BW128" s="204"/>
      <c r="BX128" s="204"/>
      <c r="BY128" s="204"/>
      <c r="BZ128" s="204"/>
      <c r="CA128" s="204"/>
      <c r="CB128" s="207"/>
      <c r="CC128" s="208" t="str">
        <f t="shared" si="2"/>
        <v>Community Management</v>
      </c>
      <c r="CD128" s="208">
        <f t="shared" si="3"/>
        <v>1.181818182</v>
      </c>
      <c r="CE128" s="203">
        <v>1.0</v>
      </c>
      <c r="CF128" s="203">
        <v>1.0</v>
      </c>
      <c r="CG128" s="203">
        <v>3.0</v>
      </c>
      <c r="CH128" s="203">
        <v>1.0</v>
      </c>
      <c r="CI128" s="203">
        <v>1.0</v>
      </c>
      <c r="CJ128" s="203">
        <v>1.0</v>
      </c>
      <c r="CK128" s="203">
        <v>1.0</v>
      </c>
      <c r="CL128" s="203">
        <v>1.0</v>
      </c>
      <c r="CM128" s="209">
        <v>1.0</v>
      </c>
      <c r="CN128" s="203">
        <v>1.0</v>
      </c>
      <c r="CO128" s="203">
        <v>1.0</v>
      </c>
    </row>
    <row r="129" ht="15.75" customHeight="1">
      <c r="A129" s="185" t="s">
        <v>757</v>
      </c>
      <c r="B129" s="185" t="s">
        <v>970</v>
      </c>
      <c r="C129" s="185" t="s">
        <v>996</v>
      </c>
      <c r="D129" s="185" t="s">
        <v>56</v>
      </c>
      <c r="E129" s="195" t="s">
        <v>997</v>
      </c>
      <c r="F129" s="196" t="str">
        <f t="shared" si="8"/>
        <v>RSRecruitment - Standard</v>
      </c>
      <c r="G129" s="196" t="str">
        <f>'Ad-Hoc | Qualitative'!C9</f>
        <v>B2B or B2C Sample through Online Panel Partners with up to 3 quotas on completes</v>
      </c>
      <c r="H129" s="197"/>
      <c r="I129" s="191"/>
      <c r="J129" s="191" t="str">
        <f>'Ad-Hoc | Qualitative'!C10</f>
        <v>CPI * 2.5 / complete</v>
      </c>
      <c r="K129" s="198"/>
      <c r="L129" s="198" t="s">
        <v>43</v>
      </c>
      <c r="M129" s="198" t="s">
        <v>43</v>
      </c>
      <c r="N129" s="198"/>
      <c r="O129" s="198"/>
      <c r="P129" s="198"/>
      <c r="Q129" s="198"/>
      <c r="R129" s="195" t="s">
        <v>826</v>
      </c>
      <c r="S129" s="200"/>
      <c r="T129" s="195" t="s">
        <v>765</v>
      </c>
      <c r="U129" s="195" t="s">
        <v>783</v>
      </c>
      <c r="V129" s="195" t="s">
        <v>783</v>
      </c>
      <c r="W129" s="201"/>
      <c r="X129" s="195" t="s">
        <v>998</v>
      </c>
      <c r="Y129" s="195" t="s">
        <v>826</v>
      </c>
      <c r="AC129" s="203">
        <v>4.0</v>
      </c>
      <c r="AD129" s="203">
        <v>1.0</v>
      </c>
      <c r="AE129" s="195" t="s">
        <v>999</v>
      </c>
      <c r="AF129" s="195" t="s">
        <v>768</v>
      </c>
      <c r="AH129" s="204"/>
      <c r="AI129" s="204"/>
      <c r="AJ129" s="204"/>
      <c r="AK129" s="204"/>
      <c r="AL129" s="204"/>
      <c r="AM129" s="205"/>
      <c r="AN129" s="205">
        <f>(AH129*'Staff Rates (Internal)'!B$2)+(AI129*'Staff Rates (Internal)'!B$3)+(AJ129*'Staff Rates (Internal)'!B$4)+(AK129*'Staff Rates (Internal)'!B$5)+(AL129*'Staff Rates (Internal)'!B$6)+(AM129*'Staff Rates (Internal)'!B$7)</f>
        <v>0</v>
      </c>
      <c r="AO129" s="206">
        <f>(AH129*'Staff Rates (External)'!B$2)+(AI129*'Staff Rates (External)'!B$3)+(AJ129*'Staff Rates (External)'!B$4)+(AK129*'Staff Rates (External)'!B$5)+(AL129*'Staff Rates (External)'!B$6)+(AM129*'Staff Rates (External)'!B$7)</f>
        <v>0</v>
      </c>
      <c r="AR129" s="195" t="s">
        <v>829</v>
      </c>
      <c r="AX129" s="204"/>
      <c r="AY129" s="204"/>
      <c r="AZ129" s="204"/>
      <c r="BA129" s="204"/>
      <c r="BB129" s="204"/>
      <c r="BC129" s="204"/>
      <c r="BD129" s="204"/>
      <c r="BE129" s="204"/>
      <c r="BF129" s="204"/>
      <c r="BG129" s="204"/>
      <c r="BH129" s="204"/>
      <c r="BI129" s="204"/>
      <c r="BJ129" s="204"/>
      <c r="BK129" s="204"/>
      <c r="BL129" s="204"/>
      <c r="BM129" s="204"/>
      <c r="BN129" s="204"/>
      <c r="BO129" s="204"/>
      <c r="BP129" s="204"/>
      <c r="BQ129" s="204"/>
      <c r="BR129" s="204"/>
      <c r="BS129" s="204"/>
      <c r="BT129" s="204"/>
      <c r="BU129" s="204"/>
      <c r="BV129" s="204"/>
      <c r="BW129" s="204"/>
      <c r="BX129" s="204"/>
      <c r="BY129" s="204"/>
      <c r="BZ129" s="204"/>
      <c r="CA129" s="204"/>
      <c r="CB129" s="207"/>
      <c r="CC129" s="208" t="str">
        <f t="shared" si="2"/>
        <v>Recruitment from Panels</v>
      </c>
      <c r="CD129" s="208">
        <f t="shared" si="3"/>
        <v>2.181818182</v>
      </c>
      <c r="CE129" s="203">
        <v>3.0</v>
      </c>
      <c r="CF129" s="203">
        <v>1.0</v>
      </c>
      <c r="CG129" s="203">
        <v>3.0</v>
      </c>
      <c r="CH129" s="203">
        <v>2.0</v>
      </c>
      <c r="CI129" s="203">
        <v>3.0</v>
      </c>
      <c r="CJ129" s="203">
        <v>3.0</v>
      </c>
      <c r="CK129" s="203">
        <v>3.0</v>
      </c>
      <c r="CL129" s="203">
        <v>3.0</v>
      </c>
      <c r="CM129" s="209">
        <v>1.0</v>
      </c>
      <c r="CN129" s="203">
        <v>1.0</v>
      </c>
      <c r="CO129" s="203">
        <v>1.0</v>
      </c>
    </row>
    <row r="130" ht="15.75" customHeight="1">
      <c r="A130" s="185" t="s">
        <v>757</v>
      </c>
      <c r="B130" s="185" t="s">
        <v>970</v>
      </c>
      <c r="C130" s="185" t="s">
        <v>996</v>
      </c>
      <c r="D130" s="185" t="s">
        <v>58</v>
      </c>
      <c r="E130" s="195" t="s">
        <v>997</v>
      </c>
      <c r="F130" s="196" t="str">
        <f t="shared" si="8"/>
        <v>RSRecruitment - Standard Plus</v>
      </c>
      <c r="G130" s="196" t="str">
        <f>'Ad-Hoc | Qualitative'!D9</f>
        <v>B2B or B2C Sample through Online Panel Partners with up to 5 quotas on completes OR nested quotas (2 variables)</v>
      </c>
      <c r="H130" s="197"/>
      <c r="I130" s="191"/>
      <c r="J130" s="191" t="str">
        <f>'Ad-Hoc | Qualitative'!D10</f>
        <v>(CPI * 2.5 + $1) / complete</v>
      </c>
      <c r="K130" s="198"/>
      <c r="L130" s="198" t="s">
        <v>43</v>
      </c>
      <c r="M130" s="198" t="s">
        <v>43</v>
      </c>
      <c r="N130" s="198"/>
      <c r="O130" s="198"/>
      <c r="P130" s="198"/>
      <c r="Q130" s="198"/>
      <c r="R130" s="195" t="s">
        <v>826</v>
      </c>
      <c r="S130" s="200"/>
      <c r="T130" s="195" t="s">
        <v>765</v>
      </c>
      <c r="U130" s="195" t="s">
        <v>783</v>
      </c>
      <c r="V130" s="195" t="s">
        <v>783</v>
      </c>
      <c r="W130" s="201"/>
      <c r="X130" s="195" t="s">
        <v>998</v>
      </c>
      <c r="Y130" s="195" t="s">
        <v>826</v>
      </c>
      <c r="AC130" s="203">
        <v>4.0</v>
      </c>
      <c r="AD130" s="203">
        <v>1.0</v>
      </c>
      <c r="AE130" s="195" t="s">
        <v>999</v>
      </c>
      <c r="AF130" s="195" t="s">
        <v>768</v>
      </c>
      <c r="AH130" s="204"/>
      <c r="AI130" s="204"/>
      <c r="AJ130" s="204"/>
      <c r="AK130" s="204"/>
      <c r="AL130" s="204"/>
      <c r="AM130" s="205"/>
      <c r="AN130" s="205">
        <f>(AH130*'Staff Rates (Internal)'!B$2)+(AI130*'Staff Rates (Internal)'!B$3)+(AJ130*'Staff Rates (Internal)'!B$4)+(AK130*'Staff Rates (Internal)'!B$5)+(AL130*'Staff Rates (Internal)'!B$6)+(AM130*'Staff Rates (Internal)'!B$7)</f>
        <v>0</v>
      </c>
      <c r="AO130" s="206">
        <f>(AH130*'Staff Rates (External)'!B$2)+(AI130*'Staff Rates (External)'!B$3)+(AJ130*'Staff Rates (External)'!B$4)+(AK130*'Staff Rates (External)'!B$5)+(AL130*'Staff Rates (External)'!B$6)+(AM130*'Staff Rates (External)'!B$7)</f>
        <v>0</v>
      </c>
      <c r="AR130" s="195" t="s">
        <v>829</v>
      </c>
      <c r="AX130" s="204"/>
      <c r="AY130" s="204"/>
      <c r="AZ130" s="204"/>
      <c r="BA130" s="204"/>
      <c r="BB130" s="204"/>
      <c r="BC130" s="204"/>
      <c r="BD130" s="204"/>
      <c r="BE130" s="204"/>
      <c r="BF130" s="204"/>
      <c r="BG130" s="204"/>
      <c r="BH130" s="204"/>
      <c r="BI130" s="204"/>
      <c r="BJ130" s="204"/>
      <c r="BK130" s="204"/>
      <c r="BL130" s="204"/>
      <c r="BM130" s="204"/>
      <c r="BN130" s="204"/>
      <c r="BO130" s="204"/>
      <c r="BP130" s="204"/>
      <c r="BQ130" s="204"/>
      <c r="BR130" s="204"/>
      <c r="BS130" s="204"/>
      <c r="BT130" s="204"/>
      <c r="BU130" s="204"/>
      <c r="BV130" s="204"/>
      <c r="BW130" s="204"/>
      <c r="BX130" s="204"/>
      <c r="BY130" s="204"/>
      <c r="BZ130" s="204"/>
      <c r="CA130" s="204"/>
      <c r="CB130" s="207"/>
      <c r="CC130" s="208" t="str">
        <f t="shared" si="2"/>
        <v>Recruitment from Panels</v>
      </c>
      <c r="CD130" s="208">
        <f t="shared" si="3"/>
        <v>2.181818182</v>
      </c>
      <c r="CE130" s="203">
        <v>3.0</v>
      </c>
      <c r="CF130" s="203">
        <v>1.0</v>
      </c>
      <c r="CG130" s="203">
        <v>3.0</v>
      </c>
      <c r="CH130" s="203">
        <v>2.0</v>
      </c>
      <c r="CI130" s="203">
        <v>3.0</v>
      </c>
      <c r="CJ130" s="203">
        <v>3.0</v>
      </c>
      <c r="CK130" s="203">
        <v>3.0</v>
      </c>
      <c r="CL130" s="203">
        <v>3.0</v>
      </c>
      <c r="CM130" s="209">
        <v>1.0</v>
      </c>
      <c r="CN130" s="203">
        <v>1.0</v>
      </c>
      <c r="CO130" s="203">
        <v>1.0</v>
      </c>
    </row>
    <row r="131" ht="15.75" customHeight="1">
      <c r="A131" s="185" t="s">
        <v>757</v>
      </c>
      <c r="B131" s="185" t="s">
        <v>970</v>
      </c>
      <c r="C131" s="185" t="s">
        <v>996</v>
      </c>
      <c r="D131" s="185" t="s">
        <v>59</v>
      </c>
      <c r="E131" s="195" t="s">
        <v>997</v>
      </c>
      <c r="F131" s="196" t="str">
        <f t="shared" si="8"/>
        <v>RSRecruitment - Advanced</v>
      </c>
      <c r="G131" s="196" t="str">
        <f>'Ad-Hoc | Qualitative'!E9</f>
        <v>B2C with Balanced Starts (up to 5 quotas on entries) or complex nested quotas (more than 2 variables)</v>
      </c>
      <c r="H131" s="197"/>
      <c r="I131" s="191"/>
      <c r="J131" s="191" t="str">
        <f>'Ad-Hoc | Qualitative'!E10</f>
        <v>(CPI * 2.5 + $2) / complete</v>
      </c>
      <c r="K131" s="198"/>
      <c r="L131" s="198" t="s">
        <v>43</v>
      </c>
      <c r="M131" s="198" t="s">
        <v>43</v>
      </c>
      <c r="N131" s="198"/>
      <c r="O131" s="198"/>
      <c r="P131" s="198"/>
      <c r="Q131" s="198"/>
      <c r="R131" s="195" t="s">
        <v>826</v>
      </c>
      <c r="S131" s="200"/>
      <c r="T131" s="195" t="s">
        <v>765</v>
      </c>
      <c r="U131" s="195" t="s">
        <v>783</v>
      </c>
      <c r="V131" s="195" t="s">
        <v>783</v>
      </c>
      <c r="W131" s="201"/>
      <c r="X131" s="195" t="s">
        <v>998</v>
      </c>
      <c r="Y131" s="195" t="s">
        <v>826</v>
      </c>
      <c r="AC131" s="203">
        <v>4.0</v>
      </c>
      <c r="AD131" s="203">
        <v>1.0</v>
      </c>
      <c r="AE131" s="195" t="s">
        <v>999</v>
      </c>
      <c r="AF131" s="195" t="s">
        <v>768</v>
      </c>
      <c r="AH131" s="204"/>
      <c r="AI131" s="204"/>
      <c r="AJ131" s="204"/>
      <c r="AK131" s="204"/>
      <c r="AL131" s="204"/>
      <c r="AM131" s="205"/>
      <c r="AN131" s="205">
        <f>(AH131*'Staff Rates (Internal)'!B$2)+(AI131*'Staff Rates (Internal)'!B$3)+(AJ131*'Staff Rates (Internal)'!B$4)+(AK131*'Staff Rates (Internal)'!B$5)+(AL131*'Staff Rates (Internal)'!B$6)+(AM131*'Staff Rates (Internal)'!B$7)</f>
        <v>0</v>
      </c>
      <c r="AO131" s="206">
        <f>(AH131*'Staff Rates (External)'!B$2)+(AI131*'Staff Rates (External)'!B$3)+(AJ131*'Staff Rates (External)'!B$4)+(AK131*'Staff Rates (External)'!B$5)+(AL131*'Staff Rates (External)'!B$6)+(AM131*'Staff Rates (External)'!B$7)</f>
        <v>0</v>
      </c>
      <c r="AR131" s="195" t="s">
        <v>829</v>
      </c>
      <c r="AX131" s="204"/>
      <c r="AY131" s="204"/>
      <c r="AZ131" s="204"/>
      <c r="BA131" s="204"/>
      <c r="BB131" s="204"/>
      <c r="BC131" s="204"/>
      <c r="BD131" s="204"/>
      <c r="BE131" s="204"/>
      <c r="BF131" s="204"/>
      <c r="BG131" s="204"/>
      <c r="BH131" s="204"/>
      <c r="BI131" s="204"/>
      <c r="BJ131" s="204"/>
      <c r="BK131" s="204"/>
      <c r="BL131" s="204"/>
      <c r="BM131" s="204"/>
      <c r="BN131" s="204"/>
      <c r="BO131" s="204"/>
      <c r="BP131" s="204"/>
      <c r="BQ131" s="204"/>
      <c r="BR131" s="204"/>
      <c r="BS131" s="204"/>
      <c r="BT131" s="204"/>
      <c r="BU131" s="204"/>
      <c r="BV131" s="204"/>
      <c r="BW131" s="204"/>
      <c r="BX131" s="204"/>
      <c r="BY131" s="204"/>
      <c r="BZ131" s="204"/>
      <c r="CA131" s="204"/>
      <c r="CB131" s="207"/>
      <c r="CC131" s="208" t="str">
        <f t="shared" si="2"/>
        <v>Recruitment from Panels</v>
      </c>
      <c r="CD131" s="208">
        <f t="shared" si="3"/>
        <v>2.181818182</v>
      </c>
      <c r="CE131" s="203">
        <v>3.0</v>
      </c>
      <c r="CF131" s="203">
        <v>1.0</v>
      </c>
      <c r="CG131" s="203">
        <v>3.0</v>
      </c>
      <c r="CH131" s="203">
        <v>2.0</v>
      </c>
      <c r="CI131" s="203">
        <v>3.0</v>
      </c>
      <c r="CJ131" s="203">
        <v>3.0</v>
      </c>
      <c r="CK131" s="203">
        <v>3.0</v>
      </c>
      <c r="CL131" s="203">
        <v>3.0</v>
      </c>
      <c r="CM131" s="209">
        <v>1.0</v>
      </c>
      <c r="CN131" s="203">
        <v>1.0</v>
      </c>
      <c r="CO131" s="203">
        <v>1.0</v>
      </c>
    </row>
    <row r="132" ht="15.75" customHeight="1">
      <c r="A132" s="185" t="s">
        <v>757</v>
      </c>
      <c r="B132" s="185" t="s">
        <v>970</v>
      </c>
      <c r="C132" s="185" t="s">
        <v>1000</v>
      </c>
      <c r="D132" s="185" t="s">
        <v>56</v>
      </c>
      <c r="E132" s="195" t="s">
        <v>997</v>
      </c>
      <c r="F132" s="196" t="str">
        <f t="shared" si="8"/>
        <v>RSRecruitment - Standard</v>
      </c>
      <c r="G132" s="196" t="str">
        <f>'Ad-Hoc | Qualitative'!C13</f>
        <v>Standard list-send qualifying and having respondents opt-in to future work. Importing into XM Directory, includes:
Standard invite (no custom formatting required, client provides messaging, client provides invite for branded (in Qualtrics or word))
Screener and Quota Setup included (simple)
1-2 distributions (e.g., soft launch group and full launch group), up to 2 reminders per group, and a Thank You message (optional)
Total list size up to 100,000 recipients, with real-time send or scheduling</v>
      </c>
      <c r="H132" s="197"/>
      <c r="I132" s="191"/>
      <c r="J132" s="191">
        <f>'Ad-Hoc | Qualitative'!C14</f>
        <v>2000</v>
      </c>
      <c r="K132" s="198"/>
      <c r="L132" s="198" t="s">
        <v>43</v>
      </c>
      <c r="M132" s="198" t="s">
        <v>43</v>
      </c>
      <c r="N132" s="198"/>
      <c r="O132" s="198"/>
      <c r="P132" s="198"/>
      <c r="Q132" s="198"/>
      <c r="R132" s="195" t="s">
        <v>764</v>
      </c>
      <c r="S132" s="200"/>
      <c r="T132" s="195" t="s">
        <v>765</v>
      </c>
      <c r="U132" s="233" t="s">
        <v>849</v>
      </c>
      <c r="V132" s="195" t="s">
        <v>783</v>
      </c>
      <c r="W132" s="201"/>
      <c r="X132" s="195" t="s">
        <v>998</v>
      </c>
      <c r="Y132" s="195" t="s">
        <v>826</v>
      </c>
      <c r="AC132" s="203">
        <v>6.0</v>
      </c>
      <c r="AD132" s="203">
        <v>1.0</v>
      </c>
      <c r="AE132" s="195" t="s">
        <v>844</v>
      </c>
      <c r="AF132" s="195" t="s">
        <v>767</v>
      </c>
      <c r="AH132" s="204"/>
      <c r="AI132" s="204"/>
      <c r="AJ132" s="204"/>
      <c r="AK132" s="204"/>
      <c r="AL132" s="204"/>
      <c r="AM132" s="205"/>
      <c r="AN132" s="205">
        <f>(AH132*'Staff Rates (Internal)'!B$2)+(AI132*'Staff Rates (Internal)'!B$3)+(AJ132*'Staff Rates (Internal)'!B$4)+(AK132*'Staff Rates (Internal)'!B$5)+(AL132*'Staff Rates (Internal)'!B$6)+(AM132*'Staff Rates (Internal)'!B$7)</f>
        <v>0</v>
      </c>
      <c r="AO132" s="206">
        <f>(AH132*'Staff Rates (External)'!B$2)+(AI132*'Staff Rates (External)'!B$3)+(AJ132*'Staff Rates (External)'!B$4)+(AK132*'Staff Rates (External)'!B$5)+(AL132*'Staff Rates (External)'!B$6)+(AM132*'Staff Rates (External)'!B$7)</f>
        <v>0</v>
      </c>
      <c r="AR132" s="195" t="s">
        <v>43</v>
      </c>
      <c r="AX132" s="204"/>
      <c r="AY132" s="204"/>
      <c r="AZ132" s="204"/>
      <c r="BA132" s="204"/>
      <c r="BB132" s="204"/>
      <c r="BC132" s="204"/>
      <c r="BD132" s="204"/>
      <c r="BE132" s="204"/>
      <c r="BF132" s="204"/>
      <c r="BG132" s="204"/>
      <c r="BH132" s="204"/>
      <c r="BI132" s="204"/>
      <c r="BJ132" s="204"/>
      <c r="BK132" s="204"/>
      <c r="BL132" s="204"/>
      <c r="BM132" s="204"/>
      <c r="BN132" s="204"/>
      <c r="BO132" s="204"/>
      <c r="BP132" s="204"/>
      <c r="BQ132" s="204"/>
      <c r="BR132" s="204"/>
      <c r="BS132" s="204"/>
      <c r="BT132" s="204"/>
      <c r="BU132" s="204"/>
      <c r="BV132" s="204"/>
      <c r="BW132" s="204"/>
      <c r="BX132" s="204"/>
      <c r="BY132" s="204"/>
      <c r="BZ132" s="204"/>
      <c r="CA132" s="204"/>
      <c r="CB132" s="207"/>
      <c r="CC132" s="208" t="str">
        <f t="shared" si="2"/>
        <v>Recruitment from Client List</v>
      </c>
      <c r="CD132" s="208">
        <f t="shared" si="3"/>
        <v>2.2</v>
      </c>
      <c r="CE132" s="203">
        <v>3.0</v>
      </c>
      <c r="CF132" s="203">
        <v>1.0</v>
      </c>
      <c r="CG132" s="203">
        <v>3.0</v>
      </c>
      <c r="CH132" s="203">
        <v>3.0</v>
      </c>
      <c r="CI132" s="203">
        <v>3.0</v>
      </c>
      <c r="CJ132" s="203">
        <v>3.0</v>
      </c>
      <c r="CK132" s="203" t="s">
        <v>43</v>
      </c>
      <c r="CL132" s="203">
        <v>3.0</v>
      </c>
      <c r="CM132" s="209">
        <v>1.0</v>
      </c>
      <c r="CN132" s="203">
        <v>1.0</v>
      </c>
      <c r="CO132" s="203">
        <v>1.0</v>
      </c>
    </row>
    <row r="133" ht="15.75" customHeight="1">
      <c r="A133" s="185" t="s">
        <v>1001</v>
      </c>
      <c r="B133" s="185" t="s">
        <v>1002</v>
      </c>
      <c r="C133" s="185" t="s">
        <v>356</v>
      </c>
      <c r="D133" s="185" t="s">
        <v>56</v>
      </c>
      <c r="E133" s="203" t="s">
        <v>1003</v>
      </c>
      <c r="F133" s="196" t="str">
        <f t="shared" si="8"/>
        <v>COR-01 - Standard</v>
      </c>
      <c r="G133" s="234" t="str">
        <f>'Core XM | Implementation &amp; Serv'!C10</f>
        <v>Standard Delivery Package
Implementation designed for midsize orgs using in house resources.
Business Edition ($50k-$100k) License Tier.
Includes:
Project Management
Kickoff call
Pre-launch review
Up to 8 hours of designated project consultant
Estimated timeline: 4 weeks</v>
      </c>
      <c r="H133" s="235"/>
      <c r="I133" s="191"/>
      <c r="J133" s="191">
        <f>'Core XM | Implementation &amp; Serv'!C11</f>
        <v>2000</v>
      </c>
      <c r="K133" s="198"/>
      <c r="L133" s="198"/>
      <c r="M133" s="198"/>
      <c r="N133" s="198"/>
      <c r="O133" s="198"/>
      <c r="P133" s="198"/>
      <c r="Q133" s="198"/>
      <c r="S133" s="200"/>
      <c r="T133" s="195" t="s">
        <v>765</v>
      </c>
      <c r="U133" s="195" t="s">
        <v>765</v>
      </c>
      <c r="V133" s="195" t="s">
        <v>765</v>
      </c>
      <c r="W133" s="201"/>
      <c r="AC133" s="203" t="s">
        <v>108</v>
      </c>
      <c r="AD133" s="203" t="s">
        <v>108</v>
      </c>
      <c r="AF133" s="195" t="s">
        <v>767</v>
      </c>
      <c r="AH133" s="204"/>
      <c r="AI133" s="204"/>
      <c r="AJ133" s="204"/>
      <c r="AK133" s="204"/>
      <c r="AL133" s="204"/>
      <c r="AM133" s="204"/>
      <c r="AN133" s="205">
        <f>(AH133*'Staff Rates (Internal)'!B$2)+(AI133*'Staff Rates (Internal)'!B$3)+(AJ133*'Staff Rates (Internal)'!B$4)+(AK133*'Staff Rates (Internal)'!B$5)+(AL133*'Staff Rates (Internal)'!B$6)+(AM133*'Staff Rates (Internal)'!B$7)</f>
        <v>0</v>
      </c>
      <c r="AO133" s="206">
        <f>(AH133*'Staff Rates (External)'!B$2)+(AI133*'Staff Rates (External)'!B$3)+(AJ133*'Staff Rates (External)'!B$4)+(AK133*'Staff Rates (External)'!B$5)+(AL133*'Staff Rates (External)'!B$6)+(AM133*'Staff Rates (External)'!B$7)</f>
        <v>0</v>
      </c>
      <c r="AX133" s="204"/>
      <c r="AY133" s="204"/>
      <c r="AZ133" s="204"/>
      <c r="BA133" s="204"/>
      <c r="BB133" s="204"/>
      <c r="BC133" s="204"/>
      <c r="BD133" s="204"/>
      <c r="BE133" s="204"/>
      <c r="BF133" s="204"/>
      <c r="BG133" s="204"/>
      <c r="BH133" s="204"/>
      <c r="BI133" s="204"/>
      <c r="BJ133" s="204"/>
      <c r="BK133" s="204"/>
      <c r="BL133" s="204"/>
      <c r="BM133" s="204"/>
      <c r="BN133" s="204"/>
      <c r="BO133" s="204"/>
      <c r="BP133" s="204"/>
      <c r="BQ133" s="204"/>
      <c r="BR133" s="204"/>
      <c r="BS133" s="204"/>
      <c r="BT133" s="204"/>
      <c r="BU133" s="204"/>
      <c r="BV133" s="204"/>
      <c r="BW133" s="204"/>
      <c r="BX133" s="204"/>
      <c r="BY133" s="204"/>
      <c r="BZ133" s="204"/>
      <c r="CA133" s="204"/>
      <c r="CB133" s="207"/>
      <c r="CC133" s="208" t="str">
        <f t="shared" si="2"/>
        <v>CoreXM Implementation</v>
      </c>
      <c r="CD133" s="208">
        <f t="shared" si="3"/>
        <v>1.727272727</v>
      </c>
      <c r="CE133" s="203">
        <v>3.0</v>
      </c>
      <c r="CF133" s="203">
        <v>1.0</v>
      </c>
      <c r="CG133" s="203">
        <v>2.0</v>
      </c>
      <c r="CH133" s="203">
        <v>1.0</v>
      </c>
      <c r="CI133" s="203">
        <v>2.0</v>
      </c>
      <c r="CJ133" s="203">
        <v>1.0</v>
      </c>
      <c r="CK133" s="203">
        <v>2.0</v>
      </c>
      <c r="CL133" s="203">
        <v>4.0</v>
      </c>
      <c r="CM133" s="209">
        <v>1.0</v>
      </c>
      <c r="CN133" s="203">
        <v>1.0</v>
      </c>
      <c r="CO133" s="203">
        <v>1.0</v>
      </c>
    </row>
    <row r="134" ht="15.75" customHeight="1">
      <c r="A134" s="185" t="s">
        <v>1001</v>
      </c>
      <c r="B134" s="185" t="s">
        <v>1002</v>
      </c>
      <c r="C134" s="185" t="s">
        <v>356</v>
      </c>
      <c r="D134" s="185" t="s">
        <v>58</v>
      </c>
      <c r="E134" s="203" t="s">
        <v>1004</v>
      </c>
      <c r="F134" s="196" t="str">
        <f t="shared" si="8"/>
        <v>COR-02 - Standard Plus</v>
      </c>
      <c r="G134" s="234" t="str">
        <f>'Core XM | Implementation &amp; Serv'!D10</f>
        <v>Standard Plus Delivery Package
Implementation designed for larger programs, 1-2 use cases, growing internal capabilities
Business Edition (up to $100k) License Tier.
Includes:
Project Management
Kickoff call
Pre-launch review
Detailed project plan
Up to 16 hours of designated project consultant
Estimated timeline: 8 weeks</v>
      </c>
      <c r="H134" s="235"/>
      <c r="I134" s="191"/>
      <c r="J134" s="191">
        <f>'Core XM | Implementation &amp; Serv'!D11</f>
        <v>4000</v>
      </c>
      <c r="K134" s="198"/>
      <c r="L134" s="198"/>
      <c r="M134" s="198"/>
      <c r="N134" s="198"/>
      <c r="O134" s="198"/>
      <c r="P134" s="198"/>
      <c r="Q134" s="198"/>
      <c r="S134" s="200"/>
      <c r="T134" s="195" t="s">
        <v>765</v>
      </c>
      <c r="U134" s="195" t="s">
        <v>765</v>
      </c>
      <c r="V134" s="195" t="s">
        <v>765</v>
      </c>
      <c r="W134" s="201"/>
      <c r="AC134" s="203" t="s">
        <v>108</v>
      </c>
      <c r="AD134" s="203" t="s">
        <v>108</v>
      </c>
      <c r="AF134" s="195" t="s">
        <v>767</v>
      </c>
      <c r="AH134" s="204"/>
      <c r="AI134" s="204"/>
      <c r="AJ134" s="204"/>
      <c r="AK134" s="204"/>
      <c r="AL134" s="204"/>
      <c r="AM134" s="204"/>
      <c r="AN134" s="205">
        <f>(AH134*'Staff Rates (Internal)'!B$2)+(AI134*'Staff Rates (Internal)'!B$3)+(AJ134*'Staff Rates (Internal)'!B$4)+(AK134*'Staff Rates (Internal)'!B$5)+(AL134*'Staff Rates (Internal)'!B$6)+(AM134*'Staff Rates (Internal)'!B$7)</f>
        <v>0</v>
      </c>
      <c r="AO134" s="206">
        <f>(AH134*'Staff Rates (External)'!B$2)+(AI134*'Staff Rates (External)'!B$3)+(AJ134*'Staff Rates (External)'!B$4)+(AK134*'Staff Rates (External)'!B$5)+(AL134*'Staff Rates (External)'!B$6)+(AM134*'Staff Rates (External)'!B$7)</f>
        <v>0</v>
      </c>
      <c r="AX134" s="204"/>
      <c r="AY134" s="204"/>
      <c r="AZ134" s="204"/>
      <c r="BA134" s="204"/>
      <c r="BB134" s="204"/>
      <c r="BC134" s="204"/>
      <c r="BD134" s="204"/>
      <c r="BE134" s="204"/>
      <c r="BF134" s="204"/>
      <c r="BG134" s="204"/>
      <c r="BH134" s="204"/>
      <c r="BI134" s="204"/>
      <c r="BJ134" s="204"/>
      <c r="BK134" s="204"/>
      <c r="BL134" s="204"/>
      <c r="BM134" s="204"/>
      <c r="BN134" s="204"/>
      <c r="BO134" s="204"/>
      <c r="BP134" s="204"/>
      <c r="BQ134" s="204"/>
      <c r="BR134" s="204"/>
      <c r="BS134" s="204"/>
      <c r="BT134" s="204"/>
      <c r="BU134" s="204"/>
      <c r="BV134" s="204"/>
      <c r="BW134" s="204"/>
      <c r="BX134" s="204"/>
      <c r="BY134" s="204"/>
      <c r="BZ134" s="204"/>
      <c r="CA134" s="204"/>
      <c r="CB134" s="207"/>
      <c r="CC134" s="208" t="str">
        <f t="shared" si="2"/>
        <v>CoreXM Implementation</v>
      </c>
      <c r="CD134" s="208">
        <f t="shared" si="3"/>
        <v>1.727272727</v>
      </c>
      <c r="CE134" s="203">
        <v>3.0</v>
      </c>
      <c r="CF134" s="203">
        <v>1.0</v>
      </c>
      <c r="CG134" s="203">
        <v>2.0</v>
      </c>
      <c r="CH134" s="203">
        <v>1.0</v>
      </c>
      <c r="CI134" s="203">
        <v>2.0</v>
      </c>
      <c r="CJ134" s="203">
        <v>1.0</v>
      </c>
      <c r="CK134" s="203">
        <v>2.0</v>
      </c>
      <c r="CL134" s="203">
        <v>4.0</v>
      </c>
      <c r="CM134" s="209">
        <v>1.0</v>
      </c>
      <c r="CN134" s="203">
        <v>1.0</v>
      </c>
      <c r="CO134" s="203">
        <v>1.0</v>
      </c>
    </row>
    <row r="135" ht="15.75" customHeight="1">
      <c r="A135" s="185" t="s">
        <v>1001</v>
      </c>
      <c r="B135" s="185" t="s">
        <v>1002</v>
      </c>
      <c r="C135" s="185" t="s">
        <v>356</v>
      </c>
      <c r="D135" s="185" t="s">
        <v>59</v>
      </c>
      <c r="E135" s="203" t="s">
        <v>1005</v>
      </c>
      <c r="F135" s="196" t="str">
        <f t="shared" si="8"/>
        <v>COR-03 - Advanced</v>
      </c>
      <c r="G135" s="234" t="str">
        <f>'Core XM | Implementation &amp; Serv'!E10</f>
        <v>Enterprise Essentials Delivery Package
Implementation designed for Complex XM programs
Multiple use cases.
Involves consultation and implementation
Business Edition (over $100k) License Tier.
Enterprise Edition Under $1M ARR
Includes:
Project Management
Kickoff call
Pre-launch review
Detailed project plan
Up to TBD hours of designated project consultant
Estimated timeline: TBD weeks</v>
      </c>
      <c r="H135" s="235"/>
      <c r="I135" s="191"/>
      <c r="J135" s="191" t="str">
        <f>'Core XM | Implementation &amp; Serv'!E11</f>
        <v>Custom</v>
      </c>
      <c r="K135" s="198"/>
      <c r="L135" s="198"/>
      <c r="M135" s="198"/>
      <c r="N135" s="198"/>
      <c r="O135" s="198"/>
      <c r="P135" s="198"/>
      <c r="Q135" s="198"/>
      <c r="S135" s="200"/>
      <c r="T135" s="195" t="s">
        <v>765</v>
      </c>
      <c r="U135" s="195" t="s">
        <v>765</v>
      </c>
      <c r="V135" s="195" t="s">
        <v>765</v>
      </c>
      <c r="W135" s="201"/>
      <c r="AC135" s="203" t="s">
        <v>108</v>
      </c>
      <c r="AD135" s="203" t="s">
        <v>108</v>
      </c>
      <c r="AF135" s="195" t="s">
        <v>767</v>
      </c>
      <c r="AH135" s="204"/>
      <c r="AI135" s="204"/>
      <c r="AJ135" s="204"/>
      <c r="AK135" s="204"/>
      <c r="AL135" s="204"/>
      <c r="AM135" s="204"/>
      <c r="AN135" s="205">
        <f>(AH135*'Staff Rates (Internal)'!B$2)+(AI135*'Staff Rates (Internal)'!B$3)+(AJ135*'Staff Rates (Internal)'!B$4)+(AK135*'Staff Rates (Internal)'!B$5)+(AL135*'Staff Rates (Internal)'!B$6)+(AM135*'Staff Rates (Internal)'!B$7)</f>
        <v>0</v>
      </c>
      <c r="AO135" s="206">
        <f>(AH135*'Staff Rates (External)'!B$2)+(AI135*'Staff Rates (External)'!B$3)+(AJ135*'Staff Rates (External)'!B$4)+(AK135*'Staff Rates (External)'!B$5)+(AL135*'Staff Rates (External)'!B$6)+(AM135*'Staff Rates (External)'!B$7)</f>
        <v>0</v>
      </c>
      <c r="AX135" s="204"/>
      <c r="AY135" s="204"/>
      <c r="AZ135" s="204"/>
      <c r="BA135" s="204"/>
      <c r="BB135" s="204"/>
      <c r="BC135" s="204"/>
      <c r="BD135" s="204"/>
      <c r="BE135" s="204"/>
      <c r="BF135" s="204"/>
      <c r="BG135" s="204"/>
      <c r="BH135" s="204"/>
      <c r="BI135" s="204"/>
      <c r="BJ135" s="204"/>
      <c r="BK135" s="204"/>
      <c r="BL135" s="204"/>
      <c r="BM135" s="204"/>
      <c r="BN135" s="204"/>
      <c r="BO135" s="204"/>
      <c r="BP135" s="204"/>
      <c r="BQ135" s="204"/>
      <c r="BR135" s="204"/>
      <c r="BS135" s="204"/>
      <c r="BT135" s="204"/>
      <c r="BU135" s="204"/>
      <c r="BV135" s="204"/>
      <c r="BW135" s="204"/>
      <c r="BX135" s="204"/>
      <c r="BY135" s="204"/>
      <c r="BZ135" s="204"/>
      <c r="CA135" s="204"/>
      <c r="CB135" s="207"/>
      <c r="CC135" s="208" t="str">
        <f t="shared" si="2"/>
        <v>CoreXM Implementation</v>
      </c>
      <c r="CD135" s="208">
        <f t="shared" si="3"/>
        <v>1.545454545</v>
      </c>
      <c r="CE135" s="203">
        <v>1.0</v>
      </c>
      <c r="CF135" s="203">
        <v>1.0</v>
      </c>
      <c r="CG135" s="203">
        <v>2.0</v>
      </c>
      <c r="CH135" s="203">
        <v>1.0</v>
      </c>
      <c r="CI135" s="203">
        <v>2.0</v>
      </c>
      <c r="CJ135" s="203">
        <v>1.0</v>
      </c>
      <c r="CK135" s="203">
        <v>2.0</v>
      </c>
      <c r="CL135" s="203">
        <v>4.0</v>
      </c>
      <c r="CM135" s="209">
        <v>1.0</v>
      </c>
      <c r="CN135" s="203">
        <v>1.0</v>
      </c>
      <c r="CO135" s="203">
        <v>1.0</v>
      </c>
    </row>
    <row r="136" ht="15.75" customHeight="1">
      <c r="A136" s="185" t="s">
        <v>1001</v>
      </c>
      <c r="B136" s="185" t="s">
        <v>1002</v>
      </c>
      <c r="C136" s="185" t="s">
        <v>356</v>
      </c>
      <c r="D136" s="200" t="s">
        <v>60</v>
      </c>
      <c r="E136" s="203" t="s">
        <v>1006</v>
      </c>
      <c r="F136" s="196" t="str">
        <f t="shared" si="8"/>
        <v>COR-04 - Custom</v>
      </c>
      <c r="G136" s="234" t="str">
        <f>'Core XM | Implementation &amp; Serv'!F10</f>
        <v>Enterprise Premier Delivery Package
Implementation designed for Complex XM programs with 
Multiple use cases that Require high-touch.
Involves Premium consultation and implementation
Enterprise Edition Over $1M ARR
Includes:
Project Management
Kickoff call
Pre-launch review
Detailed project plan
Up to TBD hours of designated project consultant
Estimated timeline: TBD weeks</v>
      </c>
      <c r="H136" s="235"/>
      <c r="I136" s="191"/>
      <c r="J136" s="191" t="str">
        <f>'Core XM | Implementation &amp; Serv'!F11</f>
        <v>Custom</v>
      </c>
      <c r="K136" s="198"/>
      <c r="L136" s="198"/>
      <c r="M136" s="198"/>
      <c r="N136" s="198"/>
      <c r="O136" s="198"/>
      <c r="P136" s="198"/>
      <c r="Q136" s="198"/>
      <c r="S136" s="200"/>
      <c r="T136" s="195" t="s">
        <v>765</v>
      </c>
      <c r="U136" s="195" t="s">
        <v>765</v>
      </c>
      <c r="V136" s="195" t="s">
        <v>765</v>
      </c>
      <c r="W136" s="201"/>
      <c r="AC136" s="203" t="s">
        <v>108</v>
      </c>
      <c r="AD136" s="203" t="s">
        <v>108</v>
      </c>
      <c r="AF136" s="195" t="s">
        <v>767</v>
      </c>
      <c r="AH136" s="204"/>
      <c r="AI136" s="204"/>
      <c r="AJ136" s="204"/>
      <c r="AK136" s="204"/>
      <c r="AL136" s="204"/>
      <c r="AM136" s="204"/>
      <c r="AN136" s="205">
        <f>(AH136*'Staff Rates (Internal)'!B$2)+(AI136*'Staff Rates (Internal)'!B$3)+(AJ136*'Staff Rates (Internal)'!B$4)+(AK136*'Staff Rates (Internal)'!B$5)+(AL136*'Staff Rates (Internal)'!B$6)+(AM136*'Staff Rates (Internal)'!B$7)</f>
        <v>0</v>
      </c>
      <c r="AO136" s="206">
        <f>(AH136*'Staff Rates (External)'!B$2)+(AI136*'Staff Rates (External)'!B$3)+(AJ136*'Staff Rates (External)'!B$4)+(AK136*'Staff Rates (External)'!B$5)+(AL136*'Staff Rates (External)'!B$6)+(AM136*'Staff Rates (External)'!B$7)</f>
        <v>0</v>
      </c>
      <c r="AX136" s="204"/>
      <c r="AY136" s="204"/>
      <c r="AZ136" s="204"/>
      <c r="BA136" s="204"/>
      <c r="BB136" s="204"/>
      <c r="BC136" s="204"/>
      <c r="BD136" s="204"/>
      <c r="BE136" s="204"/>
      <c r="BF136" s="204"/>
      <c r="BG136" s="204"/>
      <c r="BH136" s="204"/>
      <c r="BI136" s="204"/>
      <c r="BJ136" s="204"/>
      <c r="BK136" s="204"/>
      <c r="BL136" s="204"/>
      <c r="BM136" s="204"/>
      <c r="BN136" s="204"/>
      <c r="BO136" s="204"/>
      <c r="BP136" s="204"/>
      <c r="BQ136" s="204"/>
      <c r="BR136" s="204"/>
      <c r="BS136" s="204"/>
      <c r="BT136" s="204"/>
      <c r="BU136" s="204"/>
      <c r="BV136" s="204"/>
      <c r="BW136" s="204"/>
      <c r="BX136" s="204"/>
      <c r="BY136" s="204"/>
      <c r="BZ136" s="204"/>
      <c r="CA136" s="204"/>
      <c r="CB136" s="207"/>
      <c r="CC136" s="208" t="str">
        <f t="shared" si="2"/>
        <v>CoreXM Implementation</v>
      </c>
      <c r="CD136" s="208">
        <f t="shared" si="3"/>
        <v>1.545454545</v>
      </c>
      <c r="CE136" s="203">
        <v>1.0</v>
      </c>
      <c r="CF136" s="203">
        <v>1.0</v>
      </c>
      <c r="CG136" s="203">
        <v>2.0</v>
      </c>
      <c r="CH136" s="203">
        <v>1.0</v>
      </c>
      <c r="CI136" s="203">
        <v>2.0</v>
      </c>
      <c r="CJ136" s="203">
        <v>1.0</v>
      </c>
      <c r="CK136" s="203">
        <v>2.0</v>
      </c>
      <c r="CL136" s="203">
        <v>4.0</v>
      </c>
      <c r="CM136" s="209">
        <v>1.0</v>
      </c>
      <c r="CN136" s="203">
        <v>1.0</v>
      </c>
      <c r="CO136" s="203">
        <v>1.0</v>
      </c>
    </row>
    <row r="137" ht="15.75" customHeight="1">
      <c r="A137" s="185" t="s">
        <v>1001</v>
      </c>
      <c r="B137" s="185" t="s">
        <v>1002</v>
      </c>
      <c r="C137" s="185" t="s">
        <v>1007</v>
      </c>
      <c r="D137" s="185" t="s">
        <v>56</v>
      </c>
      <c r="E137" s="203" t="s">
        <v>1008</v>
      </c>
      <c r="F137" s="196" t="str">
        <f t="shared" si="8"/>
        <v>CustomXMSolutions - Standard</v>
      </c>
      <c r="G137" s="234" t="str">
        <f>'Core XM | Implementation &amp; Serv'!C14</f>
        <v>Creation of a Custom XM Solution which includes Design &amp; Build, Guided Interface Set-Up, and Creation of Report Templates. Specifically, this includes:
Up to survey 20 questions
Light survey flow logic
Design review and consultation
No tie in with MaxDiff, Conjoint, or other advanced analytic tools
Guided interface
5 pre-built report pages with no custom widgets
Up to 2 iterations per deliverable
</v>
      </c>
      <c r="H137" s="235"/>
      <c r="I137" s="191"/>
      <c r="J137" s="191">
        <f>'Core XM | Implementation &amp; Serv'!C15</f>
        <v>20000</v>
      </c>
      <c r="K137" s="198"/>
      <c r="L137" s="198"/>
      <c r="M137" s="198"/>
      <c r="N137" s="198"/>
      <c r="O137" s="198"/>
      <c r="P137" s="198"/>
      <c r="Q137" s="198"/>
      <c r="S137" s="200"/>
      <c r="T137" s="195" t="s">
        <v>765</v>
      </c>
      <c r="U137" s="195" t="s">
        <v>765</v>
      </c>
      <c r="V137" s="195" t="s">
        <v>765</v>
      </c>
      <c r="W137" s="201"/>
      <c r="AC137" s="203">
        <v>2.0</v>
      </c>
      <c r="AD137" s="203">
        <v>1.0</v>
      </c>
      <c r="AF137" s="195" t="s">
        <v>767</v>
      </c>
      <c r="AH137" s="204"/>
      <c r="AI137" s="204"/>
      <c r="AJ137" s="204"/>
      <c r="AK137" s="204"/>
      <c r="AL137" s="204"/>
      <c r="AM137" s="204"/>
      <c r="AN137" s="205">
        <f>(AH137*'Staff Rates (Internal)'!B$2)+(AI137*'Staff Rates (Internal)'!B$3)+(AJ137*'Staff Rates (Internal)'!B$4)+(AK137*'Staff Rates (Internal)'!B$5)+(AL137*'Staff Rates (Internal)'!B$6)+(AM137*'Staff Rates (Internal)'!B$7)</f>
        <v>0</v>
      </c>
      <c r="AO137" s="206">
        <f>(AH137*'Staff Rates (External)'!B$2)+(AI137*'Staff Rates (External)'!B$3)+(AJ137*'Staff Rates (External)'!B$4)+(AK137*'Staff Rates (External)'!B$5)+(AL137*'Staff Rates (External)'!B$6)+(AM137*'Staff Rates (External)'!B$7)</f>
        <v>0</v>
      </c>
      <c r="AX137" s="204"/>
      <c r="AY137" s="204"/>
      <c r="AZ137" s="204"/>
      <c r="BA137" s="204"/>
      <c r="BB137" s="204"/>
      <c r="BC137" s="204"/>
      <c r="BD137" s="204"/>
      <c r="BE137" s="204"/>
      <c r="BF137" s="204"/>
      <c r="BG137" s="204"/>
      <c r="BH137" s="204"/>
      <c r="BI137" s="204"/>
      <c r="BJ137" s="204"/>
      <c r="BK137" s="204"/>
      <c r="BL137" s="204"/>
      <c r="BM137" s="204"/>
      <c r="BN137" s="204"/>
      <c r="BO137" s="204"/>
      <c r="BP137" s="204"/>
      <c r="BQ137" s="204"/>
      <c r="BR137" s="204"/>
      <c r="BS137" s="204"/>
      <c r="BT137" s="204"/>
      <c r="BU137" s="204"/>
      <c r="BV137" s="204"/>
      <c r="BW137" s="204"/>
      <c r="BX137" s="204"/>
      <c r="BY137" s="204"/>
      <c r="BZ137" s="204"/>
      <c r="CA137" s="204"/>
      <c r="CB137" s="207"/>
      <c r="CC137" s="208" t="str">
        <f t="shared" si="2"/>
        <v>Custom XM Solution Build</v>
      </c>
      <c r="CD137" s="208">
        <f t="shared" si="3"/>
        <v>1.681818182</v>
      </c>
      <c r="CE137" s="203">
        <v>3.0</v>
      </c>
      <c r="CF137" s="203">
        <v>1.0</v>
      </c>
      <c r="CG137" s="203">
        <v>2.0</v>
      </c>
      <c r="CH137" s="203">
        <v>2.0</v>
      </c>
      <c r="CI137" s="203">
        <v>2.0</v>
      </c>
      <c r="CJ137" s="203">
        <v>1.0</v>
      </c>
      <c r="CK137" s="203">
        <v>1.0</v>
      </c>
      <c r="CL137" s="203">
        <v>2.5</v>
      </c>
      <c r="CM137" s="209">
        <v>1.0</v>
      </c>
      <c r="CN137" s="203">
        <v>1.0</v>
      </c>
      <c r="CO137" s="203">
        <v>2.0</v>
      </c>
    </row>
    <row r="138" ht="15.75" customHeight="1">
      <c r="A138" s="185" t="s">
        <v>1001</v>
      </c>
      <c r="B138" s="185" t="s">
        <v>1002</v>
      </c>
      <c r="C138" s="185" t="s">
        <v>1007</v>
      </c>
      <c r="D138" s="185" t="s">
        <v>58</v>
      </c>
      <c r="E138" s="203" t="s">
        <v>1008</v>
      </c>
      <c r="F138" s="196" t="str">
        <f t="shared" si="8"/>
        <v>CustomXMSolutions - Standard Plus</v>
      </c>
      <c r="G138" s="234" t="str">
        <f>'Core XM | Implementation &amp; Serv'!D14</f>
        <v>Creation of a Custom XM Solution which includes Design &amp; Build, Guided Interface Set-Up, and Creation of Report Templates. Specifically, this includes:
Up to survey 40 questions
Moderate survey flow logic
Design review and consultation
No tie in with MaxDiff, Conjoint, or other advanced analytic tools
Guided interface
10 pre-built report pages with no custom widgets
Up to 2 iterations per deliverable
</v>
      </c>
      <c r="H138" s="235"/>
      <c r="I138" s="191"/>
      <c r="J138" s="191">
        <f>'Core XM | Implementation &amp; Serv'!D15</f>
        <v>30000</v>
      </c>
      <c r="K138" s="198"/>
      <c r="L138" s="198"/>
      <c r="M138" s="198"/>
      <c r="N138" s="198"/>
      <c r="O138" s="198"/>
      <c r="P138" s="198"/>
      <c r="Q138" s="198"/>
      <c r="S138" s="200"/>
      <c r="T138" s="195" t="s">
        <v>765</v>
      </c>
      <c r="U138" s="195" t="s">
        <v>765</v>
      </c>
      <c r="V138" s="195" t="s">
        <v>765</v>
      </c>
      <c r="W138" s="201"/>
      <c r="AC138" s="203">
        <v>2.0</v>
      </c>
      <c r="AD138" s="203">
        <v>1.0</v>
      </c>
      <c r="AF138" s="195" t="s">
        <v>767</v>
      </c>
      <c r="AH138" s="204"/>
      <c r="AI138" s="204"/>
      <c r="AJ138" s="204"/>
      <c r="AK138" s="204"/>
      <c r="AL138" s="204"/>
      <c r="AM138" s="204"/>
      <c r="AN138" s="205">
        <f>(AH138*'Staff Rates (Internal)'!B$2)+(AI138*'Staff Rates (Internal)'!B$3)+(AJ138*'Staff Rates (Internal)'!B$4)+(AK138*'Staff Rates (Internal)'!B$5)+(AL138*'Staff Rates (Internal)'!B$6)+(AM138*'Staff Rates (Internal)'!B$7)</f>
        <v>0</v>
      </c>
      <c r="AO138" s="206">
        <f>(AH138*'Staff Rates (External)'!B$2)+(AI138*'Staff Rates (External)'!B$3)+(AJ138*'Staff Rates (External)'!B$4)+(AK138*'Staff Rates (External)'!B$5)+(AL138*'Staff Rates (External)'!B$6)+(AM138*'Staff Rates (External)'!B$7)</f>
        <v>0</v>
      </c>
      <c r="AX138" s="204"/>
      <c r="AY138" s="204"/>
      <c r="AZ138" s="204"/>
      <c r="BA138" s="204"/>
      <c r="BB138" s="204"/>
      <c r="BC138" s="204"/>
      <c r="BD138" s="204"/>
      <c r="BE138" s="204"/>
      <c r="BF138" s="204"/>
      <c r="BG138" s="204"/>
      <c r="BH138" s="204"/>
      <c r="BI138" s="204"/>
      <c r="BJ138" s="204"/>
      <c r="BK138" s="204"/>
      <c r="BL138" s="204"/>
      <c r="BM138" s="204"/>
      <c r="BN138" s="204"/>
      <c r="BO138" s="204"/>
      <c r="BP138" s="204"/>
      <c r="BQ138" s="204"/>
      <c r="BR138" s="204"/>
      <c r="BS138" s="204"/>
      <c r="BT138" s="204"/>
      <c r="BU138" s="204"/>
      <c r="BV138" s="204"/>
      <c r="BW138" s="204"/>
      <c r="BX138" s="204"/>
      <c r="BY138" s="204"/>
      <c r="BZ138" s="204"/>
      <c r="CA138" s="204"/>
      <c r="CB138" s="207"/>
      <c r="CC138" s="208" t="str">
        <f t="shared" si="2"/>
        <v>Custom XM Solution Build</v>
      </c>
      <c r="CD138" s="208">
        <f t="shared" si="3"/>
        <v>1.681818182</v>
      </c>
      <c r="CE138" s="203">
        <v>3.0</v>
      </c>
      <c r="CF138" s="203">
        <v>1.0</v>
      </c>
      <c r="CG138" s="203">
        <v>2.0</v>
      </c>
      <c r="CH138" s="203">
        <v>2.0</v>
      </c>
      <c r="CI138" s="203">
        <v>2.0</v>
      </c>
      <c r="CJ138" s="203">
        <v>1.0</v>
      </c>
      <c r="CK138" s="203">
        <v>1.0</v>
      </c>
      <c r="CL138" s="203">
        <v>2.5</v>
      </c>
      <c r="CM138" s="209">
        <v>1.0</v>
      </c>
      <c r="CN138" s="203">
        <v>1.0</v>
      </c>
      <c r="CO138" s="203">
        <v>2.0</v>
      </c>
    </row>
    <row r="139" ht="15.75" customHeight="1">
      <c r="A139" s="185" t="s">
        <v>1001</v>
      </c>
      <c r="B139" s="185" t="s">
        <v>1002</v>
      </c>
      <c r="C139" s="185" t="s">
        <v>1007</v>
      </c>
      <c r="D139" s="185" t="s">
        <v>59</v>
      </c>
      <c r="E139" s="203" t="s">
        <v>1008</v>
      </c>
      <c r="F139" s="196" t="str">
        <f t="shared" si="8"/>
        <v>CustomXMSolutions - Advanced</v>
      </c>
      <c r="G139" s="234" t="str">
        <f>'Core XM | Implementation &amp; Serv'!E14</f>
        <v>Creation of a Custom XM Solution which includes Design &amp; Build, Guided Interface Set-Up, and Creation of Report Templates. Specifically, this includes:
Up to survey 60 questions
Complex survey flow logic
Design review and consultation
No tie in with MaxDiff, Conjoint, or other advanced analytic tools
Guided interface
15 pre-built report pages with no custom widgets
Up to 3 iterations per deliverable
</v>
      </c>
      <c r="H139" s="235"/>
      <c r="I139" s="191"/>
      <c r="J139" s="191">
        <f>'Core XM | Implementation &amp; Serv'!E15</f>
        <v>35000</v>
      </c>
      <c r="K139" s="198"/>
      <c r="L139" s="198"/>
      <c r="M139" s="198"/>
      <c r="N139" s="198"/>
      <c r="O139" s="198"/>
      <c r="P139" s="198"/>
      <c r="Q139" s="198"/>
      <c r="S139" s="200"/>
      <c r="T139" s="195" t="s">
        <v>765</v>
      </c>
      <c r="U139" s="195" t="s">
        <v>765</v>
      </c>
      <c r="V139" s="195" t="s">
        <v>765</v>
      </c>
      <c r="W139" s="201"/>
      <c r="AC139" s="203">
        <v>2.0</v>
      </c>
      <c r="AD139" s="203">
        <v>1.0</v>
      </c>
      <c r="AF139" s="195" t="s">
        <v>767</v>
      </c>
      <c r="AH139" s="204"/>
      <c r="AI139" s="204"/>
      <c r="AJ139" s="204"/>
      <c r="AK139" s="204"/>
      <c r="AL139" s="204"/>
      <c r="AM139" s="204"/>
      <c r="AN139" s="205">
        <f>(AH139*'Staff Rates (Internal)'!B$2)+(AI139*'Staff Rates (Internal)'!B$3)+(AJ139*'Staff Rates (Internal)'!B$4)+(AK139*'Staff Rates (Internal)'!B$5)+(AL139*'Staff Rates (Internal)'!B$6)+(AM139*'Staff Rates (Internal)'!B$7)</f>
        <v>0</v>
      </c>
      <c r="AO139" s="206">
        <f>(AH139*'Staff Rates (External)'!B$2)+(AI139*'Staff Rates (External)'!B$3)+(AJ139*'Staff Rates (External)'!B$4)+(AK139*'Staff Rates (External)'!B$5)+(AL139*'Staff Rates (External)'!B$6)+(AM139*'Staff Rates (External)'!B$7)</f>
        <v>0</v>
      </c>
      <c r="AX139" s="204"/>
      <c r="AY139" s="204"/>
      <c r="AZ139" s="204"/>
      <c r="BA139" s="204"/>
      <c r="BB139" s="204"/>
      <c r="BC139" s="204"/>
      <c r="BD139" s="204"/>
      <c r="BE139" s="204"/>
      <c r="BF139" s="204"/>
      <c r="BG139" s="204"/>
      <c r="BH139" s="204"/>
      <c r="BI139" s="204"/>
      <c r="BJ139" s="204"/>
      <c r="BK139" s="204"/>
      <c r="BL139" s="204"/>
      <c r="BM139" s="204"/>
      <c r="BN139" s="204"/>
      <c r="BO139" s="204"/>
      <c r="BP139" s="204"/>
      <c r="BQ139" s="204"/>
      <c r="BR139" s="204"/>
      <c r="BS139" s="204"/>
      <c r="BT139" s="204"/>
      <c r="BU139" s="204"/>
      <c r="BV139" s="204"/>
      <c r="BW139" s="204"/>
      <c r="BX139" s="204"/>
      <c r="BY139" s="204"/>
      <c r="BZ139" s="204"/>
      <c r="CA139" s="204"/>
      <c r="CB139" s="207"/>
      <c r="CC139" s="208" t="str">
        <f t="shared" si="2"/>
        <v>Custom XM Solution Build</v>
      </c>
      <c r="CD139" s="208">
        <f t="shared" si="3"/>
        <v>1.681818182</v>
      </c>
      <c r="CE139" s="203">
        <v>3.0</v>
      </c>
      <c r="CF139" s="203">
        <v>1.0</v>
      </c>
      <c r="CG139" s="203">
        <v>2.0</v>
      </c>
      <c r="CH139" s="203">
        <v>2.0</v>
      </c>
      <c r="CI139" s="203">
        <v>2.0</v>
      </c>
      <c r="CJ139" s="203">
        <v>1.0</v>
      </c>
      <c r="CK139" s="203">
        <v>1.0</v>
      </c>
      <c r="CL139" s="203">
        <v>2.5</v>
      </c>
      <c r="CM139" s="209">
        <v>1.0</v>
      </c>
      <c r="CN139" s="203">
        <v>1.0</v>
      </c>
      <c r="CO139" s="203">
        <v>2.0</v>
      </c>
    </row>
    <row r="140" ht="15.75" customHeight="1">
      <c r="A140" s="185" t="s">
        <v>1001</v>
      </c>
      <c r="B140" s="185" t="s">
        <v>1002</v>
      </c>
      <c r="C140" s="185" t="s">
        <v>1007</v>
      </c>
      <c r="D140" s="200" t="s">
        <v>60</v>
      </c>
      <c r="E140" s="203" t="s">
        <v>1008</v>
      </c>
      <c r="F140" s="196" t="str">
        <f t="shared" si="8"/>
        <v>CustomXMSolutions - Custom</v>
      </c>
      <c r="G140" s="234" t="str">
        <f>'Core XM | Implementation &amp; Serv'!F14</f>
        <v>Creation of a Custom XM Solution which includes Design &amp; Build, Guided Interface Set-Up, and Creation of Report Templates.
Custom scope required for surveys over 60 questions, requiring over 15 report pages, requiring custom widgets, involving a dashboard or more advance reporting, etc.
</v>
      </c>
      <c r="H140" s="235"/>
      <c r="I140" s="191"/>
      <c r="J140" s="191" t="str">
        <f>'Core XM | Implementation &amp; Serv'!F15</f>
        <v>Custom Quote</v>
      </c>
      <c r="K140" s="198"/>
      <c r="L140" s="198"/>
      <c r="M140" s="198"/>
      <c r="N140" s="198"/>
      <c r="O140" s="198"/>
      <c r="P140" s="198"/>
      <c r="Q140" s="198"/>
      <c r="S140" s="200"/>
      <c r="T140" s="195" t="s">
        <v>765</v>
      </c>
      <c r="U140" s="195" t="s">
        <v>765</v>
      </c>
      <c r="V140" s="195" t="s">
        <v>765</v>
      </c>
      <c r="W140" s="201"/>
      <c r="AC140" s="203">
        <v>2.0</v>
      </c>
      <c r="AD140" s="203">
        <v>1.0</v>
      </c>
      <c r="AF140" s="195" t="s">
        <v>767</v>
      </c>
      <c r="AH140" s="204"/>
      <c r="AI140" s="204"/>
      <c r="AJ140" s="204"/>
      <c r="AK140" s="204"/>
      <c r="AL140" s="204"/>
      <c r="AM140" s="204"/>
      <c r="AN140" s="205">
        <f>(AH140*'Staff Rates (Internal)'!B$2)+(AI140*'Staff Rates (Internal)'!B$3)+(AJ140*'Staff Rates (Internal)'!B$4)+(AK140*'Staff Rates (Internal)'!B$5)+(AL140*'Staff Rates (Internal)'!B$6)+(AM140*'Staff Rates (Internal)'!B$7)</f>
        <v>0</v>
      </c>
      <c r="AO140" s="206">
        <f>(AH140*'Staff Rates (External)'!B$2)+(AI140*'Staff Rates (External)'!B$3)+(AJ140*'Staff Rates (External)'!B$4)+(AK140*'Staff Rates (External)'!B$5)+(AL140*'Staff Rates (External)'!B$6)+(AM140*'Staff Rates (External)'!B$7)</f>
        <v>0</v>
      </c>
      <c r="AX140" s="204"/>
      <c r="AY140" s="204"/>
      <c r="AZ140" s="204"/>
      <c r="BA140" s="204"/>
      <c r="BB140" s="204"/>
      <c r="BC140" s="204"/>
      <c r="BD140" s="204"/>
      <c r="BE140" s="204"/>
      <c r="BF140" s="204"/>
      <c r="BG140" s="204"/>
      <c r="BH140" s="204"/>
      <c r="BI140" s="204"/>
      <c r="BJ140" s="204"/>
      <c r="BK140" s="204"/>
      <c r="BL140" s="204"/>
      <c r="BM140" s="204"/>
      <c r="BN140" s="204"/>
      <c r="BO140" s="204"/>
      <c r="BP140" s="204"/>
      <c r="BQ140" s="204"/>
      <c r="BR140" s="204"/>
      <c r="BS140" s="204"/>
      <c r="BT140" s="204"/>
      <c r="BU140" s="204"/>
      <c r="BV140" s="204"/>
      <c r="BW140" s="204"/>
      <c r="BX140" s="204"/>
      <c r="BY140" s="204"/>
      <c r="BZ140" s="204"/>
      <c r="CA140" s="204"/>
      <c r="CB140" s="207"/>
      <c r="CC140" s="208" t="str">
        <f t="shared" si="2"/>
        <v>Custom XM Solution Build</v>
      </c>
      <c r="CD140" s="208">
        <f t="shared" si="3"/>
        <v>1.5</v>
      </c>
      <c r="CE140" s="203">
        <v>1.0</v>
      </c>
      <c r="CF140" s="203">
        <v>1.0</v>
      </c>
      <c r="CG140" s="203">
        <v>2.0</v>
      </c>
      <c r="CH140" s="203">
        <v>2.0</v>
      </c>
      <c r="CI140" s="203">
        <v>2.0</v>
      </c>
      <c r="CJ140" s="203">
        <v>1.0</v>
      </c>
      <c r="CK140" s="203">
        <v>1.0</v>
      </c>
      <c r="CL140" s="203">
        <v>2.5</v>
      </c>
      <c r="CM140" s="209">
        <v>1.0</v>
      </c>
      <c r="CN140" s="203">
        <v>1.0</v>
      </c>
      <c r="CO140" s="203">
        <v>2.0</v>
      </c>
    </row>
    <row r="141" ht="15.75" customHeight="1">
      <c r="A141" s="185" t="s">
        <v>1001</v>
      </c>
      <c r="B141" s="185" t="s">
        <v>1002</v>
      </c>
      <c r="C141" s="185" t="s">
        <v>1009</v>
      </c>
      <c r="D141" s="200" t="s">
        <v>56</v>
      </c>
      <c r="E141" s="203" t="s">
        <v>1008</v>
      </c>
      <c r="F141" s="196" t="str">
        <f t="shared" si="8"/>
        <v>CustomXMSolutions - Standard</v>
      </c>
      <c r="G141" s="234" t="str">
        <f>'Core XM | Implementation &amp; Serv'!C18</f>
        <v>Updates to the Survey Design &amp; Build, Guided Interface, and Report Templates Deliverables
- Up to 20% change in each component performed under the respective
Deliverable (Survey Design &amp;amp; Build, Guided Interface, and Report Templates)
- All requests must be presented together with each update
- Up to 2 iterations for each deliverable, per instance of updates
- Provided in English</v>
      </c>
      <c r="H141" s="235"/>
      <c r="I141" s="191"/>
      <c r="J141" s="191" t="str">
        <f>'Core XM | Implementation &amp; Serv'!C19</f>
        <v>Custom Quote</v>
      </c>
      <c r="K141" s="198"/>
      <c r="L141" s="198"/>
      <c r="M141" s="198"/>
      <c r="N141" s="198"/>
      <c r="O141" s="198"/>
      <c r="P141" s="198"/>
      <c r="Q141" s="198"/>
      <c r="S141" s="200"/>
      <c r="T141" s="195" t="s">
        <v>765</v>
      </c>
      <c r="U141" s="195" t="s">
        <v>765</v>
      </c>
      <c r="V141" s="195" t="s">
        <v>765</v>
      </c>
      <c r="W141" s="201"/>
      <c r="AC141" s="203">
        <v>2.0</v>
      </c>
      <c r="AD141" s="203">
        <v>1.0</v>
      </c>
      <c r="AF141" s="195" t="s">
        <v>767</v>
      </c>
      <c r="AH141" s="204"/>
      <c r="AI141" s="204"/>
      <c r="AJ141" s="204"/>
      <c r="AK141" s="204"/>
      <c r="AL141" s="204"/>
      <c r="AM141" s="204"/>
      <c r="AN141" s="205">
        <f>(AH141*'Staff Rates (Internal)'!B$2)+(AI141*'Staff Rates (Internal)'!B$3)+(AJ141*'Staff Rates (Internal)'!B$4)+(AK141*'Staff Rates (Internal)'!B$5)+(AL141*'Staff Rates (Internal)'!B$6)+(AM141*'Staff Rates (Internal)'!B$7)</f>
        <v>0</v>
      </c>
      <c r="AO141" s="206">
        <f>(AH141*'Staff Rates (External)'!B$2)+(AI141*'Staff Rates (External)'!B$3)+(AJ141*'Staff Rates (External)'!B$4)+(AK141*'Staff Rates (External)'!B$5)+(AL141*'Staff Rates (External)'!B$6)+(AM141*'Staff Rates (External)'!B$7)</f>
        <v>0</v>
      </c>
      <c r="AX141" s="204"/>
      <c r="AY141" s="204"/>
      <c r="AZ141" s="204"/>
      <c r="BA141" s="204"/>
      <c r="BB141" s="204"/>
      <c r="BC141" s="204"/>
      <c r="BD141" s="204"/>
      <c r="BE141" s="204"/>
      <c r="BF141" s="204"/>
      <c r="BG141" s="204"/>
      <c r="BH141" s="204"/>
      <c r="BI141" s="204"/>
      <c r="BJ141" s="204"/>
      <c r="BK141" s="204"/>
      <c r="BL141" s="204"/>
      <c r="BM141" s="204"/>
      <c r="BN141" s="204"/>
      <c r="BO141" s="204"/>
      <c r="BP141" s="204"/>
      <c r="BQ141" s="204"/>
      <c r="BR141" s="204"/>
      <c r="BS141" s="204"/>
      <c r="BT141" s="204"/>
      <c r="BU141" s="204"/>
      <c r="BV141" s="204"/>
      <c r="BW141" s="204"/>
      <c r="BX141" s="204"/>
      <c r="BY141" s="204"/>
      <c r="BZ141" s="204"/>
      <c r="CA141" s="204"/>
      <c r="CB141" s="207"/>
      <c r="CC141" s="208" t="str">
        <f t="shared" si="2"/>
        <v>Custom XM Solution Updates</v>
      </c>
      <c r="CD141" s="208">
        <f t="shared" si="3"/>
        <v>1.363636364</v>
      </c>
      <c r="CE141" s="203">
        <v>1.0</v>
      </c>
      <c r="CF141" s="203">
        <v>1.0</v>
      </c>
      <c r="CG141" s="203">
        <v>2.0</v>
      </c>
      <c r="CH141" s="203">
        <v>2.0</v>
      </c>
      <c r="CI141" s="203">
        <v>2.0</v>
      </c>
      <c r="CJ141" s="203">
        <v>1.0</v>
      </c>
      <c r="CK141" s="203">
        <v>1.0</v>
      </c>
      <c r="CL141" s="203">
        <v>2.0</v>
      </c>
      <c r="CM141" s="209">
        <v>1.0</v>
      </c>
      <c r="CN141" s="203">
        <v>1.0</v>
      </c>
      <c r="CO141" s="203">
        <v>1.0</v>
      </c>
    </row>
    <row r="142" ht="15.75" customHeight="1">
      <c r="A142" s="185" t="s">
        <v>1001</v>
      </c>
      <c r="B142" s="185" t="s">
        <v>1002</v>
      </c>
      <c r="C142" s="200" t="s">
        <v>371</v>
      </c>
      <c r="D142" s="200" t="s">
        <v>56</v>
      </c>
      <c r="E142" s="203" t="s">
        <v>1010</v>
      </c>
      <c r="F142" s="196" t="str">
        <f t="shared" si="8"/>
        <v>XDB-01 - Standard</v>
      </c>
      <c r="G142" s="234" t="str">
        <f>'Core XM | Implementation &amp; Serv'!C22</f>
        <v>Support for Standard Survey: Support client’s build of survey with max 30 Questions, 30 Embedded Data Fields; Standard Dashboard Build: Max 20 widgets/survey, max 60 widgets total, max 3 roles</v>
      </c>
      <c r="H142" s="235"/>
      <c r="I142" s="191"/>
      <c r="J142" s="191">
        <f>'Core XM | Implementation &amp; Serv'!C23</f>
        <v>2500</v>
      </c>
      <c r="K142" s="198"/>
      <c r="L142" s="198"/>
      <c r="M142" s="198"/>
      <c r="N142" s="198"/>
      <c r="O142" s="198"/>
      <c r="P142" s="198"/>
      <c r="Q142" s="198"/>
      <c r="S142" s="200"/>
      <c r="T142" s="195" t="s">
        <v>765</v>
      </c>
      <c r="U142" s="195" t="s">
        <v>765</v>
      </c>
      <c r="V142" s="195" t="s">
        <v>765</v>
      </c>
      <c r="W142" s="201"/>
      <c r="AC142" s="203" t="s">
        <v>108</v>
      </c>
      <c r="AD142" s="203" t="s">
        <v>108</v>
      </c>
      <c r="AF142" s="195" t="s">
        <v>767</v>
      </c>
      <c r="AH142" s="204"/>
      <c r="AI142" s="204"/>
      <c r="AJ142" s="204"/>
      <c r="AK142" s="204"/>
      <c r="AL142" s="204"/>
      <c r="AM142" s="204"/>
      <c r="AN142" s="205">
        <f>(AH142*'Staff Rates (Internal)'!B$2)+(AI142*'Staff Rates (Internal)'!B$3)+(AJ142*'Staff Rates (Internal)'!B$4)+(AK142*'Staff Rates (Internal)'!B$5)+(AL142*'Staff Rates (Internal)'!B$6)+(AM142*'Staff Rates (Internal)'!B$7)</f>
        <v>0</v>
      </c>
      <c r="AO142" s="206">
        <f>(AH142*'Staff Rates (External)'!B$2)+(AI142*'Staff Rates (External)'!B$3)+(AJ142*'Staff Rates (External)'!B$4)+(AK142*'Staff Rates (External)'!B$5)+(AL142*'Staff Rates (External)'!B$6)+(AM142*'Staff Rates (External)'!B$7)</f>
        <v>0</v>
      </c>
      <c r="AX142" s="204"/>
      <c r="AY142" s="204"/>
      <c r="AZ142" s="204"/>
      <c r="BA142" s="204"/>
      <c r="BB142" s="204"/>
      <c r="BC142" s="204"/>
      <c r="BD142" s="204"/>
      <c r="BE142" s="204"/>
      <c r="BF142" s="204"/>
      <c r="BG142" s="204"/>
      <c r="BH142" s="204"/>
      <c r="BI142" s="204"/>
      <c r="BJ142" s="204"/>
      <c r="BK142" s="204"/>
      <c r="BL142" s="204"/>
      <c r="BM142" s="204"/>
      <c r="BN142" s="204"/>
      <c r="BO142" s="204"/>
      <c r="BP142" s="204"/>
      <c r="BQ142" s="204"/>
      <c r="BR142" s="204"/>
      <c r="BS142" s="204"/>
      <c r="BT142" s="204"/>
      <c r="BU142" s="204"/>
      <c r="BV142" s="204"/>
      <c r="BW142" s="204"/>
      <c r="BX142" s="204"/>
      <c r="BY142" s="204"/>
      <c r="BZ142" s="204"/>
      <c r="CA142" s="204"/>
      <c r="CB142" s="207"/>
      <c r="CC142" s="208" t="str">
        <f t="shared" si="2"/>
        <v>Additional Dashboard Configuration
(price per dashboard)</v>
      </c>
      <c r="CD142" s="208">
        <f t="shared" si="3"/>
        <v>1.727272727</v>
      </c>
      <c r="CE142" s="203">
        <v>3.0</v>
      </c>
      <c r="CF142" s="203">
        <v>1.0</v>
      </c>
      <c r="CG142" s="203">
        <v>2.0</v>
      </c>
      <c r="CH142" s="203">
        <v>1.0</v>
      </c>
      <c r="CI142" s="203">
        <v>2.0</v>
      </c>
      <c r="CJ142" s="203">
        <v>2.0</v>
      </c>
      <c r="CK142" s="203">
        <v>2.0</v>
      </c>
      <c r="CL142" s="203">
        <v>3.0</v>
      </c>
      <c r="CM142" s="209">
        <v>1.0</v>
      </c>
      <c r="CN142" s="203">
        <v>1.0</v>
      </c>
      <c r="CO142" s="203">
        <v>1.0</v>
      </c>
    </row>
    <row r="143" ht="15.75" customHeight="1">
      <c r="A143" s="185" t="s">
        <v>1001</v>
      </c>
      <c r="B143" s="185" t="s">
        <v>1002</v>
      </c>
      <c r="C143" s="200" t="s">
        <v>373</v>
      </c>
      <c r="D143" s="200" t="s">
        <v>56</v>
      </c>
      <c r="E143" s="203" t="s">
        <v>1011</v>
      </c>
      <c r="F143" s="196" t="str">
        <f t="shared" si="8"/>
        <v>XAS-01 - Standard</v>
      </c>
      <c r="G143" s="236" t="str">
        <f>'Core XM | Implementation &amp; Serv'!C26</f>
        <v>
Additional SI Intercept Setup (price per intercept, each on a single domain or app): $500
Additional Site Intercept Support (per domain or app, includes one intercept): $2,500
Additional Survey Support (&lt;30 questions, price per survey): $1,500
Additional Survey Support (30-60 questions, price per survey): $3,000
Developer Tools Advanced Support (Must be sold in conjunction with DeveloperTools Introductory Support): $3,000
XM Directory Automations Support (price per automation): $1,000
</v>
      </c>
      <c r="H143" s="237"/>
      <c r="I143" s="238"/>
      <c r="J143" s="238" t="str">
        <f>'Core XM | Implementation &amp; Serv'!C27</f>
        <v>$500 - $3000</v>
      </c>
      <c r="K143" s="239"/>
      <c r="L143" s="239"/>
      <c r="M143" s="239"/>
      <c r="N143" s="239"/>
      <c r="S143" s="200"/>
      <c r="T143" s="195" t="s">
        <v>765</v>
      </c>
      <c r="U143" s="195" t="s">
        <v>765</v>
      </c>
      <c r="V143" s="195" t="s">
        <v>765</v>
      </c>
      <c r="W143" s="201"/>
      <c r="AC143" s="203" t="s">
        <v>108</v>
      </c>
      <c r="AD143" s="203" t="s">
        <v>108</v>
      </c>
      <c r="AF143" s="195" t="s">
        <v>767</v>
      </c>
      <c r="AN143" s="205">
        <f>(AH143*'Staff Rates (Internal)'!B$2)+(AI143*'Staff Rates (Internal)'!B$3)+(AJ143*'Staff Rates (Internal)'!B$4)+(AK143*'Staff Rates (Internal)'!B$5)+(AL143*'Staff Rates (Internal)'!B$6)+(AM143*'Staff Rates (Internal)'!B$7)</f>
        <v>0</v>
      </c>
      <c r="AO143" s="206">
        <f>(AH143*'Staff Rates (External)'!B$2)+(AI143*'Staff Rates (External)'!B$3)+(AJ143*'Staff Rates (External)'!B$4)+(AK143*'Staff Rates (External)'!B$5)+(AL143*'Staff Rates (External)'!B$6)+(AM143*'Staff Rates (External)'!B$7)</f>
        <v>0</v>
      </c>
      <c r="CB143" s="207"/>
      <c r="CC143" s="208" t="str">
        <f t="shared" si="2"/>
        <v>Additional Support</v>
      </c>
      <c r="CD143" s="208">
        <f t="shared" si="3"/>
        <v>1.7</v>
      </c>
      <c r="CE143" s="203">
        <v>3.0</v>
      </c>
      <c r="CF143" s="203">
        <v>1.0</v>
      </c>
      <c r="CG143" s="203">
        <v>2.0</v>
      </c>
      <c r="CH143" s="203">
        <v>1.0</v>
      </c>
      <c r="CI143" s="203">
        <v>2.0</v>
      </c>
      <c r="CJ143" s="203">
        <v>2.0</v>
      </c>
      <c r="CK143" s="203" t="s">
        <v>43</v>
      </c>
      <c r="CL143" s="203">
        <v>3.0</v>
      </c>
      <c r="CM143" s="209">
        <v>1.0</v>
      </c>
      <c r="CN143" s="203">
        <v>1.0</v>
      </c>
      <c r="CO143" s="203">
        <v>1.0</v>
      </c>
    </row>
    <row r="144" ht="15.75" customHeight="1">
      <c r="A144" s="185" t="s">
        <v>1001</v>
      </c>
      <c r="B144" s="185" t="s">
        <v>1002</v>
      </c>
      <c r="C144" s="200" t="s">
        <v>376</v>
      </c>
      <c r="D144" s="200" t="s">
        <v>56</v>
      </c>
      <c r="E144" s="203" t="s">
        <v>1012</v>
      </c>
      <c r="F144" s="196" t="str">
        <f t="shared" si="8"/>
        <v>XBU-01 - Standard</v>
      </c>
      <c r="G144" s="236" t="str">
        <f>'Core XM | Implementation &amp; Serv'!C30</f>
        <v>User creation of up to 1000 users</v>
      </c>
      <c r="H144" s="237"/>
      <c r="I144" s="238"/>
      <c r="J144" s="238">
        <f>'Core XM | Implementation &amp; Serv'!C31</f>
        <v>1000</v>
      </c>
      <c r="K144" s="239"/>
      <c r="L144" s="239"/>
      <c r="M144" s="239"/>
      <c r="N144" s="239"/>
      <c r="S144" s="200"/>
      <c r="T144" s="195" t="s">
        <v>765</v>
      </c>
      <c r="U144" s="195" t="s">
        <v>765</v>
      </c>
      <c r="V144" s="195" t="s">
        <v>765</v>
      </c>
      <c r="W144" s="201"/>
      <c r="AC144" s="203" t="s">
        <v>108</v>
      </c>
      <c r="AD144" s="203" t="s">
        <v>108</v>
      </c>
      <c r="AF144" s="195" t="s">
        <v>767</v>
      </c>
      <c r="AN144" s="205">
        <f>(AH144*'Staff Rates (Internal)'!B$2)+(AI144*'Staff Rates (Internal)'!B$3)+(AJ144*'Staff Rates (Internal)'!B$4)+(AK144*'Staff Rates (Internal)'!B$5)+(AL144*'Staff Rates (Internal)'!B$6)+(AM144*'Staff Rates (Internal)'!B$7)</f>
        <v>0</v>
      </c>
      <c r="AO144" s="206">
        <f>(AH144*'Staff Rates (External)'!B$2)+(AI144*'Staff Rates (External)'!B$3)+(AJ144*'Staff Rates (External)'!B$4)+(AK144*'Staff Rates (External)'!B$5)+(AL144*'Staff Rates (External)'!B$6)+(AM144*'Staff Rates (External)'!B$7)</f>
        <v>0</v>
      </c>
      <c r="CB144" s="207"/>
      <c r="CC144" s="208" t="str">
        <f t="shared" si="2"/>
        <v>Batch user creation</v>
      </c>
      <c r="CD144" s="208">
        <f t="shared" si="3"/>
        <v>1.7</v>
      </c>
      <c r="CE144" s="203">
        <v>3.0</v>
      </c>
      <c r="CF144" s="203">
        <v>1.0</v>
      </c>
      <c r="CG144" s="203">
        <v>2.0</v>
      </c>
      <c r="CH144" s="203">
        <v>1.0</v>
      </c>
      <c r="CI144" s="203">
        <v>2.0</v>
      </c>
      <c r="CJ144" s="203">
        <v>2.0</v>
      </c>
      <c r="CK144" s="203" t="s">
        <v>43</v>
      </c>
      <c r="CL144" s="203">
        <v>3.0</v>
      </c>
      <c r="CM144" s="209">
        <v>1.0</v>
      </c>
      <c r="CN144" s="203">
        <v>1.0</v>
      </c>
      <c r="CO144" s="203">
        <v>1.0</v>
      </c>
    </row>
    <row r="145" ht="15.75" customHeight="1">
      <c r="A145" s="185" t="s">
        <v>1001</v>
      </c>
      <c r="B145" s="185" t="s">
        <v>1002</v>
      </c>
      <c r="C145" s="200" t="s">
        <v>378</v>
      </c>
      <c r="D145" s="200" t="s">
        <v>56</v>
      </c>
      <c r="E145" s="203" t="s">
        <v>1013</v>
      </c>
      <c r="F145" s="196" t="str">
        <f t="shared" si="8"/>
        <v>XTS-01 - Standard</v>
      </c>
      <c r="G145" s="236" t="str">
        <f>'Core XM | Implementation &amp; Serv'!C34</f>
        <v>
Dashboard Translation Support (price per dashboard, per language): $1,000
Survey Translation Support (price per survey, per language): $1,000</v>
      </c>
      <c r="H145" s="237"/>
      <c r="I145" s="238"/>
      <c r="J145" s="238">
        <f>'Core XM | Implementation &amp; Serv'!C35</f>
        <v>1000</v>
      </c>
      <c r="K145" s="239"/>
      <c r="L145" s="239"/>
      <c r="M145" s="239"/>
      <c r="N145" s="239"/>
      <c r="S145" s="200"/>
      <c r="T145" s="195" t="s">
        <v>765</v>
      </c>
      <c r="U145" s="195" t="s">
        <v>765</v>
      </c>
      <c r="V145" s="195" t="s">
        <v>765</v>
      </c>
      <c r="W145" s="201"/>
      <c r="AC145" s="203" t="s">
        <v>108</v>
      </c>
      <c r="AD145" s="203" t="s">
        <v>108</v>
      </c>
      <c r="AF145" s="195" t="s">
        <v>767</v>
      </c>
      <c r="AN145" s="205">
        <f>(AH145*'Staff Rates (Internal)'!B$2)+(AI145*'Staff Rates (Internal)'!B$3)+(AJ145*'Staff Rates (Internal)'!B$4)+(AK145*'Staff Rates (Internal)'!B$5)+(AL145*'Staff Rates (Internal)'!B$6)+(AM145*'Staff Rates (Internal)'!B$7)</f>
        <v>0</v>
      </c>
      <c r="AO145" s="206">
        <f>(AH145*'Staff Rates (External)'!B$2)+(AI145*'Staff Rates (External)'!B$3)+(AJ145*'Staff Rates (External)'!B$4)+(AK145*'Staff Rates (External)'!B$5)+(AL145*'Staff Rates (External)'!B$6)+(AM145*'Staff Rates (External)'!B$7)</f>
        <v>0</v>
      </c>
      <c r="CB145" s="207"/>
      <c r="CC145" s="208" t="str">
        <f t="shared" si="2"/>
        <v>Translation support</v>
      </c>
      <c r="CD145" s="208">
        <f t="shared" si="3"/>
        <v>1.7</v>
      </c>
      <c r="CE145" s="203">
        <v>3.0</v>
      </c>
      <c r="CF145" s="203">
        <v>1.0</v>
      </c>
      <c r="CG145" s="203">
        <v>2.0</v>
      </c>
      <c r="CH145" s="203">
        <v>1.0</v>
      </c>
      <c r="CI145" s="203">
        <v>2.0</v>
      </c>
      <c r="CJ145" s="203">
        <v>2.0</v>
      </c>
      <c r="CK145" s="203" t="s">
        <v>43</v>
      </c>
      <c r="CL145" s="203">
        <v>3.0</v>
      </c>
      <c r="CM145" s="209">
        <v>1.0</v>
      </c>
      <c r="CN145" s="203">
        <v>1.0</v>
      </c>
      <c r="CO145" s="203">
        <v>1.0</v>
      </c>
    </row>
    <row r="146" ht="15.75" customHeight="1">
      <c r="A146" s="185" t="s">
        <v>1001</v>
      </c>
      <c r="B146" s="185" t="s">
        <v>1002</v>
      </c>
      <c r="C146" s="200" t="s">
        <v>380</v>
      </c>
      <c r="D146" s="200" t="s">
        <v>56</v>
      </c>
      <c r="E146" s="203" t="s">
        <v>1014</v>
      </c>
      <c r="F146" s="196" t="str">
        <f t="shared" si="8"/>
        <v>XDM-01 - Standard</v>
      </c>
      <c r="G146" s="236" t="str">
        <f>'Core XM | Implementation &amp; Serv'!C38</f>
        <v>Data Migration (per source, up to 50k responses each)
</v>
      </c>
      <c r="H146" s="237"/>
      <c r="I146" s="238"/>
      <c r="J146" s="238">
        <f>'Core XM | Implementation &amp; Serv'!C39</f>
        <v>2000</v>
      </c>
      <c r="K146" s="239"/>
      <c r="L146" s="239"/>
      <c r="M146" s="239"/>
      <c r="N146" s="239"/>
      <c r="S146" s="200"/>
      <c r="T146" s="195" t="s">
        <v>765</v>
      </c>
      <c r="U146" s="195" t="s">
        <v>765</v>
      </c>
      <c r="V146" s="195" t="s">
        <v>765</v>
      </c>
      <c r="W146" s="201"/>
      <c r="AC146" s="203" t="s">
        <v>108</v>
      </c>
      <c r="AD146" s="203" t="s">
        <v>108</v>
      </c>
      <c r="AF146" s="195" t="s">
        <v>767</v>
      </c>
      <c r="AN146" s="205">
        <f>(AH146*'Staff Rates (Internal)'!B$2)+(AI146*'Staff Rates (Internal)'!B$3)+(AJ146*'Staff Rates (Internal)'!B$4)+(AK146*'Staff Rates (Internal)'!B$5)+(AL146*'Staff Rates (Internal)'!B$6)+(AM146*'Staff Rates (Internal)'!B$7)</f>
        <v>0</v>
      </c>
      <c r="AO146" s="206">
        <f>(AH146*'Staff Rates (External)'!B$2)+(AI146*'Staff Rates (External)'!B$3)+(AJ146*'Staff Rates (External)'!B$4)+(AK146*'Staff Rates (External)'!B$5)+(AL146*'Staff Rates (External)'!B$6)+(AM146*'Staff Rates (External)'!B$7)</f>
        <v>0</v>
      </c>
      <c r="CB146" s="207"/>
      <c r="CC146" s="208" t="str">
        <f t="shared" si="2"/>
        <v>Data migration</v>
      </c>
      <c r="CD146" s="208">
        <f t="shared" si="3"/>
        <v>1.6</v>
      </c>
      <c r="CE146" s="203">
        <v>3.0</v>
      </c>
      <c r="CF146" s="203">
        <v>1.0</v>
      </c>
      <c r="CG146" s="203">
        <v>2.0</v>
      </c>
      <c r="CH146" s="203">
        <v>1.0</v>
      </c>
      <c r="CI146" s="203">
        <v>2.0</v>
      </c>
      <c r="CJ146" s="203">
        <v>1.0</v>
      </c>
      <c r="CK146" s="203" t="s">
        <v>43</v>
      </c>
      <c r="CL146" s="203">
        <v>3.0</v>
      </c>
      <c r="CM146" s="209">
        <v>1.0</v>
      </c>
      <c r="CN146" s="203">
        <v>1.0</v>
      </c>
      <c r="CO146" s="203">
        <v>1.0</v>
      </c>
    </row>
    <row r="147" ht="15.75" customHeight="1">
      <c r="A147" s="185" t="s">
        <v>1001</v>
      </c>
      <c r="B147" s="185" t="s">
        <v>1002</v>
      </c>
      <c r="C147" s="200" t="s">
        <v>382</v>
      </c>
      <c r="D147" s="200" t="s">
        <v>56</v>
      </c>
      <c r="E147" s="203" t="s">
        <v>1015</v>
      </c>
      <c r="F147" s="196" t="str">
        <f t="shared" si="8"/>
        <v>XCT-01 - Standard</v>
      </c>
      <c r="G147" s="196" t="str">
        <f>'Core XM | Implementation &amp; Serv'!C42</f>
        <v>Custom Training/Demo (price per 1-hour session)</v>
      </c>
      <c r="H147" s="197"/>
      <c r="I147" s="238"/>
      <c r="J147" s="238">
        <f>'Core XM | Implementation &amp; Serv'!C43</f>
        <v>400</v>
      </c>
      <c r="K147" s="240"/>
      <c r="L147" s="240"/>
      <c r="M147" s="240"/>
      <c r="N147" s="240"/>
      <c r="O147" s="198"/>
      <c r="P147" s="198"/>
      <c r="Q147" s="198"/>
      <c r="S147" s="200"/>
      <c r="T147" s="195" t="s">
        <v>765</v>
      </c>
      <c r="U147" s="195" t="s">
        <v>765</v>
      </c>
      <c r="V147" s="195" t="s">
        <v>765</v>
      </c>
      <c r="W147" s="201"/>
      <c r="AC147" s="203" t="s">
        <v>108</v>
      </c>
      <c r="AD147" s="203" t="s">
        <v>108</v>
      </c>
      <c r="AF147" s="195" t="s">
        <v>767</v>
      </c>
      <c r="AH147" s="204"/>
      <c r="AI147" s="204"/>
      <c r="AJ147" s="204"/>
      <c r="AK147" s="204"/>
      <c r="AL147" s="204"/>
      <c r="AM147" s="204"/>
      <c r="AN147" s="205">
        <f>(AH147*'Staff Rates (Internal)'!B$2)+(AI147*'Staff Rates (Internal)'!B$3)+(AJ147*'Staff Rates (Internal)'!B$4)+(AK147*'Staff Rates (Internal)'!B$5)+(AL147*'Staff Rates (Internal)'!B$6)+(AM147*'Staff Rates (Internal)'!B$7)</f>
        <v>0</v>
      </c>
      <c r="AO147" s="206">
        <f>(AH147*'Staff Rates (External)'!B$2)+(AI147*'Staff Rates (External)'!B$3)+(AJ147*'Staff Rates (External)'!B$4)+(AK147*'Staff Rates (External)'!B$5)+(AL147*'Staff Rates (External)'!B$6)+(AM147*'Staff Rates (External)'!B$7)</f>
        <v>0</v>
      </c>
      <c r="AX147" s="204"/>
      <c r="AY147" s="204"/>
      <c r="AZ147" s="204"/>
      <c r="BA147" s="204"/>
      <c r="BB147" s="204"/>
      <c r="BC147" s="204"/>
      <c r="BD147" s="204"/>
      <c r="BE147" s="204"/>
      <c r="BF147" s="204"/>
      <c r="BG147" s="204"/>
      <c r="BH147" s="204"/>
      <c r="BI147" s="204"/>
      <c r="BJ147" s="204"/>
      <c r="BK147" s="204"/>
      <c r="BL147" s="204"/>
      <c r="BM147" s="204"/>
      <c r="BN147" s="204"/>
      <c r="BO147" s="204"/>
      <c r="BP147" s="204"/>
      <c r="BQ147" s="204"/>
      <c r="BR147" s="204"/>
      <c r="BS147" s="204"/>
      <c r="BT147" s="204"/>
      <c r="BU147" s="204"/>
      <c r="BV147" s="204"/>
      <c r="BW147" s="204"/>
      <c r="BX147" s="204"/>
      <c r="BY147" s="204"/>
      <c r="BZ147" s="204"/>
      <c r="CA147" s="204"/>
      <c r="CB147" s="207"/>
      <c r="CC147" s="208" t="str">
        <f t="shared" si="2"/>
        <v>Custom Training/Demo</v>
      </c>
      <c r="CD147" s="208">
        <f t="shared" si="3"/>
        <v>1.7</v>
      </c>
      <c r="CE147" s="203">
        <v>3.0</v>
      </c>
      <c r="CF147" s="203">
        <v>1.0</v>
      </c>
      <c r="CG147" s="203">
        <v>2.0</v>
      </c>
      <c r="CH147" s="203">
        <v>1.0</v>
      </c>
      <c r="CI147" s="203">
        <v>2.0</v>
      </c>
      <c r="CJ147" s="203">
        <v>2.0</v>
      </c>
      <c r="CK147" s="203" t="s">
        <v>43</v>
      </c>
      <c r="CL147" s="203">
        <v>3.0</v>
      </c>
      <c r="CM147" s="209">
        <v>1.0</v>
      </c>
      <c r="CN147" s="203">
        <v>1.0</v>
      </c>
      <c r="CO147" s="203">
        <v>1.0</v>
      </c>
    </row>
    <row r="148" ht="15.75" customHeight="1">
      <c r="A148" s="185" t="s">
        <v>1016</v>
      </c>
      <c r="B148" s="200" t="s">
        <v>1017</v>
      </c>
      <c r="C148" s="200" t="s">
        <v>1018</v>
      </c>
      <c r="D148" s="200" t="s">
        <v>56</v>
      </c>
      <c r="E148" s="203" t="s">
        <v>1019</v>
      </c>
      <c r="F148" s="196" t="str">
        <f t="shared" si="8"/>
        <v>BXI-01 - Standard</v>
      </c>
      <c r="G148" s="196" t="str">
        <f>'BX | Implementation &amp; Services'!C10</f>
        <v/>
      </c>
      <c r="H148" s="197"/>
      <c r="I148" s="191"/>
      <c r="J148" s="191" t="str">
        <f>'BX | Implementation &amp; Services'!C11</f>
        <v/>
      </c>
      <c r="K148" s="198"/>
      <c r="L148" s="198"/>
      <c r="M148" s="198"/>
      <c r="N148" s="198"/>
      <c r="O148" s="215" t="s">
        <v>1020</v>
      </c>
      <c r="P148" s="199" t="s">
        <v>908</v>
      </c>
      <c r="Q148" s="215" t="s">
        <v>1021</v>
      </c>
      <c r="S148" s="200"/>
      <c r="T148" s="203" t="s">
        <v>765</v>
      </c>
      <c r="U148" s="203" t="s">
        <v>765</v>
      </c>
      <c r="V148" s="203" t="s">
        <v>765</v>
      </c>
      <c r="W148" s="207"/>
      <c r="AC148" s="203" t="s">
        <v>108</v>
      </c>
      <c r="AD148" s="203" t="s">
        <v>108</v>
      </c>
      <c r="AH148" s="204"/>
      <c r="AI148" s="204"/>
      <c r="AJ148" s="204"/>
      <c r="AK148" s="204"/>
      <c r="AL148" s="204"/>
      <c r="AM148" s="204">
        <v>36.0</v>
      </c>
      <c r="AN148" s="205">
        <f>(AH148*'Staff Rates (Internal)'!B$2)+(AI148*'Staff Rates (Internal)'!B$3)+(AJ148*'Staff Rates (Internal)'!B$4)+(AK148*'Staff Rates (Internal)'!B$5)+(AL148*'Staff Rates (Internal)'!B$6)+(AM148*'Staff Rates (Internal)'!B$7)</f>
        <v>2430</v>
      </c>
      <c r="AO148" s="206">
        <f>(AH148*'Staff Rates (External)'!B$2)+(AI148*'Staff Rates (External)'!B$3)+(AJ148*'Staff Rates (External)'!B$4)+(AK148*'Staff Rates (External)'!B$5)+(AL148*'Staff Rates (External)'!B$6)+(AM148*'Staff Rates (External)'!B$7)</f>
        <v>9720</v>
      </c>
      <c r="AX148" s="204"/>
      <c r="AY148" s="204"/>
      <c r="AZ148" s="204"/>
      <c r="BA148" s="204"/>
      <c r="BB148" s="204"/>
      <c r="BC148" s="204"/>
      <c r="BD148" s="204"/>
      <c r="BE148" s="204"/>
      <c r="BF148" s="204"/>
      <c r="BG148" s="204"/>
      <c r="BH148" s="204"/>
      <c r="BI148" s="204"/>
      <c r="BJ148" s="204"/>
      <c r="BK148" s="204"/>
      <c r="BL148" s="204"/>
      <c r="BM148" s="204"/>
      <c r="BN148" s="204"/>
      <c r="BO148" s="204"/>
      <c r="BP148" s="204"/>
      <c r="BQ148" s="204"/>
      <c r="BR148" s="204"/>
      <c r="BS148" s="204"/>
      <c r="BT148" s="204"/>
      <c r="BU148" s="204"/>
      <c r="BV148" s="204"/>
      <c r="BW148" s="204"/>
      <c r="BX148" s="204"/>
      <c r="BY148" s="204"/>
      <c r="BZ148" s="204"/>
      <c r="CA148" s="204"/>
      <c r="CB148" s="207"/>
      <c r="CC148" s="208" t="str">
        <f t="shared" si="2"/>
        <v>BX Implementation</v>
      </c>
      <c r="CD148" s="208">
        <f t="shared" si="3"/>
        <v>2.272727273</v>
      </c>
      <c r="CE148" s="203">
        <v>3.0</v>
      </c>
      <c r="CF148" s="203">
        <v>1.0</v>
      </c>
      <c r="CG148" s="203">
        <v>2.0</v>
      </c>
      <c r="CH148" s="203">
        <v>1.0</v>
      </c>
      <c r="CI148" s="203">
        <v>3.0</v>
      </c>
      <c r="CJ148" s="203">
        <v>3.0</v>
      </c>
      <c r="CK148" s="203">
        <v>2.0</v>
      </c>
      <c r="CL148" s="203">
        <v>3.0</v>
      </c>
      <c r="CM148" s="209">
        <v>1.0</v>
      </c>
      <c r="CN148" s="203">
        <v>3.0</v>
      </c>
      <c r="CO148" s="203">
        <v>3.0</v>
      </c>
    </row>
    <row r="149" ht="15.75" customHeight="1">
      <c r="A149" s="185" t="s">
        <v>1016</v>
      </c>
      <c r="B149" s="200" t="s">
        <v>1017</v>
      </c>
      <c r="C149" s="200" t="s">
        <v>1018</v>
      </c>
      <c r="D149" s="200" t="s">
        <v>58</v>
      </c>
      <c r="E149" s="203" t="s">
        <v>1022</v>
      </c>
      <c r="F149" s="196" t="str">
        <f t="shared" si="8"/>
        <v>BXI-02 - Standard Plus</v>
      </c>
      <c r="G149" s="196" t="str">
        <f>'BX | Implementation &amp; Services'!D10</f>
        <v/>
      </c>
      <c r="H149" s="197"/>
      <c r="I149" s="191"/>
      <c r="J149" s="191" t="str">
        <f>'BX | Implementation &amp; Services'!D11</f>
        <v/>
      </c>
      <c r="K149" s="198"/>
      <c r="L149" s="198"/>
      <c r="M149" s="198"/>
      <c r="N149" s="198"/>
      <c r="O149" s="215" t="s">
        <v>1020</v>
      </c>
      <c r="P149" s="199" t="s">
        <v>908</v>
      </c>
      <c r="Q149" s="215" t="s">
        <v>1021</v>
      </c>
      <c r="S149" s="200"/>
      <c r="T149" s="203" t="s">
        <v>765</v>
      </c>
      <c r="U149" s="203" t="s">
        <v>765</v>
      </c>
      <c r="V149" s="203" t="s">
        <v>765</v>
      </c>
      <c r="W149" s="207"/>
      <c r="AC149" s="203" t="s">
        <v>108</v>
      </c>
      <c r="AD149" s="203" t="s">
        <v>108</v>
      </c>
      <c r="AH149" s="204"/>
      <c r="AI149" s="204"/>
      <c r="AJ149" s="204"/>
      <c r="AK149" s="204"/>
      <c r="AL149" s="204"/>
      <c r="AM149" s="204">
        <v>50.0</v>
      </c>
      <c r="AN149" s="205">
        <f>(AH149*'Staff Rates (Internal)'!B$2)+(AI149*'Staff Rates (Internal)'!B$3)+(AJ149*'Staff Rates (Internal)'!B$4)+(AK149*'Staff Rates (Internal)'!B$5)+(AL149*'Staff Rates (Internal)'!B$6)+(AM149*'Staff Rates (Internal)'!B$7)</f>
        <v>3375</v>
      </c>
      <c r="AO149" s="206">
        <f>(AH149*'Staff Rates (External)'!B$2)+(AI149*'Staff Rates (External)'!B$3)+(AJ149*'Staff Rates (External)'!B$4)+(AK149*'Staff Rates (External)'!B$5)+(AL149*'Staff Rates (External)'!B$6)+(AM149*'Staff Rates (External)'!B$7)</f>
        <v>13500</v>
      </c>
      <c r="AX149" s="204"/>
      <c r="AY149" s="204"/>
      <c r="AZ149" s="204"/>
      <c r="BA149" s="204"/>
      <c r="BB149" s="204"/>
      <c r="BC149" s="204"/>
      <c r="BD149" s="204"/>
      <c r="BE149" s="204"/>
      <c r="BF149" s="204"/>
      <c r="BG149" s="204"/>
      <c r="BH149" s="204"/>
      <c r="BI149" s="204"/>
      <c r="BJ149" s="204"/>
      <c r="BK149" s="204"/>
      <c r="BL149" s="204"/>
      <c r="BM149" s="204"/>
      <c r="BN149" s="204"/>
      <c r="BO149" s="204"/>
      <c r="BP149" s="204"/>
      <c r="BQ149" s="204"/>
      <c r="BR149" s="204"/>
      <c r="BS149" s="204"/>
      <c r="BT149" s="204"/>
      <c r="BU149" s="204"/>
      <c r="BV149" s="204"/>
      <c r="BW149" s="204"/>
      <c r="BX149" s="204"/>
      <c r="BY149" s="204"/>
      <c r="BZ149" s="204"/>
      <c r="CA149" s="204"/>
      <c r="CB149" s="207"/>
      <c r="CC149" s="208" t="str">
        <f t="shared" si="2"/>
        <v>BX Implementation</v>
      </c>
      <c r="CD149" s="208">
        <f t="shared" si="3"/>
        <v>2.272727273</v>
      </c>
      <c r="CE149" s="203">
        <v>3.0</v>
      </c>
      <c r="CF149" s="203">
        <v>1.0</v>
      </c>
      <c r="CG149" s="203">
        <v>2.0</v>
      </c>
      <c r="CH149" s="203">
        <v>1.0</v>
      </c>
      <c r="CI149" s="203">
        <v>3.0</v>
      </c>
      <c r="CJ149" s="203">
        <v>3.0</v>
      </c>
      <c r="CK149" s="203">
        <v>2.0</v>
      </c>
      <c r="CL149" s="203">
        <v>3.0</v>
      </c>
      <c r="CM149" s="209">
        <v>1.0</v>
      </c>
      <c r="CN149" s="203">
        <v>3.0</v>
      </c>
      <c r="CO149" s="203">
        <v>3.0</v>
      </c>
    </row>
    <row r="150" ht="15.75" customHeight="1">
      <c r="A150" s="185" t="s">
        <v>1016</v>
      </c>
      <c r="B150" s="200" t="s">
        <v>1017</v>
      </c>
      <c r="C150" s="200" t="s">
        <v>1018</v>
      </c>
      <c r="D150" s="200" t="s">
        <v>60</v>
      </c>
      <c r="E150" s="203" t="s">
        <v>1023</v>
      </c>
      <c r="F150" s="196" t="str">
        <f t="shared" si="8"/>
        <v>BXI-04 - Custom</v>
      </c>
      <c r="G150" s="196" t="str">
        <f>'BX | Implementation &amp; Services'!F10</f>
        <v>Custom quote required if:
Multiple dashboards or builds
Over 60 questions
Multiple pathways or links
Over 20 dashboard filters
Large number of custom metrics
Multiple data sources
Other items not covered in Standard or Standard Plus</v>
      </c>
      <c r="H150" s="235"/>
      <c r="I150" s="191"/>
      <c r="J150" s="191" t="str">
        <f>'BX | Implementation &amp; Services'!F11</f>
        <v>Custom Quote</v>
      </c>
      <c r="K150" s="198"/>
      <c r="L150" s="198"/>
      <c r="M150" s="198"/>
      <c r="N150" s="198"/>
      <c r="O150" s="198"/>
      <c r="P150" s="198"/>
      <c r="Q150" s="198"/>
      <c r="S150" s="200"/>
      <c r="T150" s="203" t="s">
        <v>765</v>
      </c>
      <c r="U150" s="203" t="s">
        <v>765</v>
      </c>
      <c r="V150" s="203" t="s">
        <v>765</v>
      </c>
      <c r="W150" s="207"/>
      <c r="AC150" s="203" t="s">
        <v>108</v>
      </c>
      <c r="AD150" s="203" t="s">
        <v>108</v>
      </c>
      <c r="AH150" s="204"/>
      <c r="AI150" s="204"/>
      <c r="AJ150" s="204"/>
      <c r="AK150" s="204"/>
      <c r="AL150" s="204"/>
      <c r="AM150" s="204"/>
      <c r="AN150" s="205">
        <f>(AH150*'Staff Rates (Internal)'!B$2)+(AI150*'Staff Rates (Internal)'!B$3)+(AJ150*'Staff Rates (Internal)'!B$4)+(AK150*'Staff Rates (Internal)'!B$5)+(AL150*'Staff Rates (Internal)'!B$6)+(AM150*'Staff Rates (Internal)'!B$7)</f>
        <v>0</v>
      </c>
      <c r="AO150" s="206">
        <f>(AH150*'Staff Rates (External)'!B$2)+(AI150*'Staff Rates (External)'!B$3)+(AJ150*'Staff Rates (External)'!B$4)+(AK150*'Staff Rates (External)'!B$5)+(AL150*'Staff Rates (External)'!B$6)+(AM150*'Staff Rates (External)'!B$7)</f>
        <v>0</v>
      </c>
      <c r="AX150" s="204"/>
      <c r="AY150" s="204"/>
      <c r="AZ150" s="204"/>
      <c r="BA150" s="204"/>
      <c r="BB150" s="204"/>
      <c r="BC150" s="204"/>
      <c r="BD150" s="204"/>
      <c r="BE150" s="204"/>
      <c r="BF150" s="204"/>
      <c r="BG150" s="204"/>
      <c r="BH150" s="204"/>
      <c r="BI150" s="204"/>
      <c r="BJ150" s="204"/>
      <c r="BK150" s="204"/>
      <c r="BL150" s="204"/>
      <c r="BM150" s="204"/>
      <c r="BN150" s="204"/>
      <c r="BO150" s="204"/>
      <c r="BP150" s="204"/>
      <c r="BQ150" s="204"/>
      <c r="BR150" s="204"/>
      <c r="BS150" s="204"/>
      <c r="BT150" s="204"/>
      <c r="BU150" s="204"/>
      <c r="BV150" s="204"/>
      <c r="BW150" s="204"/>
      <c r="BX150" s="204"/>
      <c r="BY150" s="204"/>
      <c r="BZ150" s="204"/>
      <c r="CA150" s="204"/>
      <c r="CB150" s="207"/>
      <c r="CC150" s="208" t="str">
        <f t="shared" si="2"/>
        <v>BX Implementation</v>
      </c>
      <c r="CD150" s="208">
        <f t="shared" si="3"/>
        <v>2.090909091</v>
      </c>
      <c r="CE150" s="203">
        <v>1.0</v>
      </c>
      <c r="CF150" s="203">
        <v>1.0</v>
      </c>
      <c r="CG150" s="203">
        <v>2.0</v>
      </c>
      <c r="CH150" s="203">
        <v>1.0</v>
      </c>
      <c r="CI150" s="203">
        <v>3.0</v>
      </c>
      <c r="CJ150" s="203">
        <v>3.0</v>
      </c>
      <c r="CK150" s="203">
        <v>2.0</v>
      </c>
      <c r="CL150" s="203">
        <v>3.0</v>
      </c>
      <c r="CM150" s="209">
        <v>1.0</v>
      </c>
      <c r="CN150" s="203">
        <v>3.0</v>
      </c>
      <c r="CO150" s="203">
        <v>3.0</v>
      </c>
    </row>
    <row r="151" ht="15.75" customHeight="1">
      <c r="A151" s="185" t="s">
        <v>1016</v>
      </c>
      <c r="B151" s="200" t="s">
        <v>1017</v>
      </c>
      <c r="C151" s="200" t="s">
        <v>1024</v>
      </c>
      <c r="D151" s="200" t="s">
        <v>56</v>
      </c>
      <c r="E151" s="203" t="s">
        <v>1025</v>
      </c>
      <c r="F151" s="196" t="str">
        <f t="shared" si="8"/>
        <v>BDM-01 - Standard</v>
      </c>
      <c r="G151" s="196" t="str">
        <f>'BX | Implementation &amp; Services'!C14</f>
        <v>Includes migrating 1 survey and 1 dashboard from CoreXM or CX to BX.
Assumptions:
Other than enabling these existing projects to have access to BX technology, no other survey or dashboard edits are included. Modifications outside of this migration require additional scoping and costs.</v>
      </c>
      <c r="H151" s="197"/>
      <c r="I151" s="191"/>
      <c r="J151" s="191">
        <f>'BX | Implementation &amp; Services'!C15</f>
        <v>3000</v>
      </c>
      <c r="K151" s="198"/>
      <c r="L151" s="198"/>
      <c r="M151" s="198"/>
      <c r="N151" s="198"/>
      <c r="O151" s="198" t="s">
        <v>1026</v>
      </c>
      <c r="P151" s="198" t="s">
        <v>908</v>
      </c>
      <c r="Q151" s="215" t="s">
        <v>1021</v>
      </c>
      <c r="S151" s="200"/>
      <c r="T151" s="203" t="s">
        <v>765</v>
      </c>
      <c r="U151" s="203" t="s">
        <v>765</v>
      </c>
      <c r="V151" s="203" t="s">
        <v>765</v>
      </c>
      <c r="W151" s="207"/>
      <c r="AC151" s="203" t="s">
        <v>108</v>
      </c>
      <c r="AD151" s="203" t="s">
        <v>108</v>
      </c>
      <c r="AH151" s="204"/>
      <c r="AI151" s="204"/>
      <c r="AJ151" s="204"/>
      <c r="AK151" s="204"/>
      <c r="AL151" s="204"/>
      <c r="AM151" s="204">
        <v>6.0</v>
      </c>
      <c r="AN151" s="205">
        <f>(AH151*'Staff Rates (Internal)'!B$2)+(AI151*'Staff Rates (Internal)'!B$3)+(AJ151*'Staff Rates (Internal)'!B$4)+(AK151*'Staff Rates (Internal)'!B$5)+(AL151*'Staff Rates (Internal)'!B$6)+(AM151*'Staff Rates (Internal)'!B$7)</f>
        <v>405</v>
      </c>
      <c r="AO151" s="206">
        <f>(AH151*'Staff Rates (External)'!B$2)+(AI151*'Staff Rates (External)'!B$3)+(AJ151*'Staff Rates (External)'!B$4)+(AK151*'Staff Rates (External)'!B$5)+(AL151*'Staff Rates (External)'!B$6)+(AM151*'Staff Rates (External)'!B$7)</f>
        <v>1620</v>
      </c>
      <c r="AX151" s="204"/>
      <c r="AY151" s="204"/>
      <c r="AZ151" s="204"/>
      <c r="BA151" s="204"/>
      <c r="BB151" s="204"/>
      <c r="BC151" s="204"/>
      <c r="BD151" s="204"/>
      <c r="BE151" s="204"/>
      <c r="BF151" s="204"/>
      <c r="BG151" s="204"/>
      <c r="BH151" s="204"/>
      <c r="BI151" s="204"/>
      <c r="BJ151" s="204"/>
      <c r="BK151" s="204"/>
      <c r="BL151" s="204"/>
      <c r="BM151" s="204"/>
      <c r="BN151" s="204"/>
      <c r="BO151" s="204"/>
      <c r="BP151" s="204"/>
      <c r="BQ151" s="204"/>
      <c r="BR151" s="204"/>
      <c r="BS151" s="204"/>
      <c r="BT151" s="204"/>
      <c r="BU151" s="204"/>
      <c r="BV151" s="204"/>
      <c r="BW151" s="204"/>
      <c r="BX151" s="204"/>
      <c r="BY151" s="204"/>
      <c r="BZ151" s="204"/>
      <c r="CA151" s="204"/>
      <c r="CB151" s="207"/>
      <c r="CC151" s="208" t="str">
        <f t="shared" si="2"/>
        <v>Internal Data Migration</v>
      </c>
      <c r="CD151" s="208">
        <f t="shared" si="3"/>
        <v>1.5</v>
      </c>
      <c r="CE151" s="203">
        <v>3.0</v>
      </c>
      <c r="CF151" s="203">
        <v>1.0</v>
      </c>
      <c r="CG151" s="203">
        <v>2.0</v>
      </c>
      <c r="CH151" s="203">
        <v>1.0</v>
      </c>
      <c r="CI151" s="203">
        <v>2.0</v>
      </c>
      <c r="CJ151" s="203">
        <v>1.0</v>
      </c>
      <c r="CK151" s="203" t="s">
        <v>43</v>
      </c>
      <c r="CL151" s="203">
        <v>2.0</v>
      </c>
      <c r="CM151" s="209">
        <v>1.0</v>
      </c>
      <c r="CN151" s="203">
        <v>1.0</v>
      </c>
      <c r="CO151" s="203">
        <v>1.0</v>
      </c>
    </row>
    <row r="152" ht="28.5" customHeight="1">
      <c r="A152" s="185" t="s">
        <v>1016</v>
      </c>
      <c r="B152" s="200" t="s">
        <v>1017</v>
      </c>
      <c r="C152" s="200" t="s">
        <v>1027</v>
      </c>
      <c r="D152" s="200" t="s">
        <v>60</v>
      </c>
      <c r="E152" s="203" t="s">
        <v>1028</v>
      </c>
      <c r="F152" s="196" t="str">
        <f t="shared" si="8"/>
        <v>BDM-04 - Custom</v>
      </c>
      <c r="G152" s="196" t="str">
        <f>'BX | Implementation &amp; Services'!C18</f>
        <v>Includes migration from an external data source (CRM, sales data, etc.)</v>
      </c>
      <c r="H152" s="235"/>
      <c r="I152" s="191"/>
      <c r="J152" s="191" t="str">
        <f>'BX | Implementation &amp; Services'!C19</f>
        <v>Custom</v>
      </c>
      <c r="K152" s="198"/>
      <c r="L152" s="198"/>
      <c r="M152" s="198"/>
      <c r="N152" s="198"/>
      <c r="O152" s="198" t="s">
        <v>1026</v>
      </c>
      <c r="P152" s="198" t="s">
        <v>908</v>
      </c>
      <c r="Q152" s="215" t="s">
        <v>1021</v>
      </c>
      <c r="S152" s="200"/>
      <c r="T152" s="203" t="s">
        <v>765</v>
      </c>
      <c r="U152" s="203" t="s">
        <v>765</v>
      </c>
      <c r="V152" s="203" t="s">
        <v>765</v>
      </c>
      <c r="W152" s="207"/>
      <c r="AC152" s="203" t="s">
        <v>108</v>
      </c>
      <c r="AD152" s="203" t="s">
        <v>108</v>
      </c>
      <c r="AH152" s="204"/>
      <c r="AI152" s="204"/>
      <c r="AJ152" s="204"/>
      <c r="AK152" s="204"/>
      <c r="AL152" s="204"/>
      <c r="AM152" s="204"/>
      <c r="AN152" s="205">
        <f>(AH152*'Staff Rates (Internal)'!B$2)+(AI152*'Staff Rates (Internal)'!B$3)+(AJ152*'Staff Rates (Internal)'!B$4)+(AK152*'Staff Rates (Internal)'!B$5)+(AL152*'Staff Rates (Internal)'!B$6)+(AM152*'Staff Rates (Internal)'!B$7)</f>
        <v>0</v>
      </c>
      <c r="AO152" s="206">
        <f>(AH152*'Staff Rates (External)'!B$2)+(AI152*'Staff Rates (External)'!B$3)+(AJ152*'Staff Rates (External)'!B$4)+(AK152*'Staff Rates (External)'!B$5)+(AL152*'Staff Rates (External)'!B$6)+(AM152*'Staff Rates (External)'!B$7)</f>
        <v>0</v>
      </c>
      <c r="AX152" s="204"/>
      <c r="AY152" s="204"/>
      <c r="AZ152" s="204"/>
      <c r="BA152" s="204"/>
      <c r="BB152" s="204"/>
      <c r="BC152" s="204"/>
      <c r="BD152" s="204"/>
      <c r="BE152" s="204"/>
      <c r="BF152" s="204"/>
      <c r="BG152" s="204"/>
      <c r="BH152" s="204"/>
      <c r="BI152" s="204"/>
      <c r="BJ152" s="204"/>
      <c r="BK152" s="204"/>
      <c r="BL152" s="204"/>
      <c r="BM152" s="204"/>
      <c r="BN152" s="204"/>
      <c r="BO152" s="204"/>
      <c r="BP152" s="204"/>
      <c r="BQ152" s="204"/>
      <c r="BR152" s="204"/>
      <c r="BS152" s="204"/>
      <c r="BT152" s="204"/>
      <c r="BU152" s="204"/>
      <c r="BV152" s="204"/>
      <c r="BW152" s="204"/>
      <c r="BX152" s="204"/>
      <c r="BY152" s="204"/>
      <c r="BZ152" s="204"/>
      <c r="CA152" s="204"/>
      <c r="CB152" s="207"/>
      <c r="CC152" s="208" t="str">
        <f t="shared" si="2"/>
        <v>External Data Migration</v>
      </c>
      <c r="CD152" s="208">
        <f t="shared" si="3"/>
        <v>1.5</v>
      </c>
      <c r="CE152" s="203">
        <v>3.0</v>
      </c>
      <c r="CF152" s="203">
        <v>1.0</v>
      </c>
      <c r="CG152" s="203">
        <v>2.0</v>
      </c>
      <c r="CH152" s="203">
        <v>1.0</v>
      </c>
      <c r="CI152" s="203">
        <v>2.0</v>
      </c>
      <c r="CJ152" s="203">
        <v>1.0</v>
      </c>
      <c r="CK152" s="203" t="s">
        <v>43</v>
      </c>
      <c r="CL152" s="203">
        <v>2.0</v>
      </c>
      <c r="CM152" s="209">
        <v>1.0</v>
      </c>
      <c r="CN152" s="203">
        <v>1.0</v>
      </c>
      <c r="CO152" s="203">
        <v>1.0</v>
      </c>
    </row>
    <row r="153" ht="15.75" customHeight="1">
      <c r="A153" s="185" t="s">
        <v>1016</v>
      </c>
      <c r="B153" s="200" t="s">
        <v>1029</v>
      </c>
      <c r="C153" s="200" t="s">
        <v>320</v>
      </c>
      <c r="D153" s="200" t="s">
        <v>56</v>
      </c>
      <c r="E153" s="203" t="s">
        <v>1030</v>
      </c>
      <c r="F153" s="196" t="str">
        <f t="shared" si="8"/>
        <v>BSR-01 - Standard</v>
      </c>
      <c r="G153" s="196" t="str">
        <f>'BX | Implementation &amp; Services'!C22</f>
        <v>Includes methodology review and consultation for:
1 survey in English
Up to 30 questions
1 survey pathway (no differences by market/category)
Up to 20 brands (including competitors)
Up to 2 rounds of iteration (one round of customer marked-up feedback on question content, response options, or logic that impacts 5 or more questions)
Assumptions:
The customer provides a fully written out questionnaire, including demographics and screener questions. Bullets or partially written questions will require design services and an additional cost.
The customer provides the questionnaire in a Word file, Google Doc, or similar format. Excel or Google Sheet formats will require additional scoping and costs.</v>
      </c>
      <c r="H153" s="197"/>
      <c r="I153" s="191"/>
      <c r="J153" s="191">
        <f>'BX | Implementation &amp; Services'!C23</f>
        <v>3000</v>
      </c>
      <c r="K153" s="198"/>
      <c r="L153" s="198"/>
      <c r="M153" s="198"/>
      <c r="N153" s="198"/>
      <c r="O153" s="199" t="s">
        <v>1031</v>
      </c>
      <c r="P153" s="199" t="s">
        <v>908</v>
      </c>
      <c r="Q153" s="215" t="s">
        <v>1021</v>
      </c>
      <c r="S153" s="200"/>
      <c r="T153" s="195" t="s">
        <v>765</v>
      </c>
      <c r="U153" s="195" t="s">
        <v>765</v>
      </c>
      <c r="V153" s="195" t="s">
        <v>765</v>
      </c>
      <c r="W153" s="201"/>
      <c r="AA153" s="195">
        <f>roundup(AN153,-1)</f>
        <v>470</v>
      </c>
      <c r="AB153" s="202">
        <v>0.76</v>
      </c>
      <c r="AC153" s="203" t="s">
        <v>108</v>
      </c>
      <c r="AD153" s="203" t="s">
        <v>108</v>
      </c>
      <c r="AE153" s="195" t="s">
        <v>1032</v>
      </c>
      <c r="AF153" s="195" t="s">
        <v>767</v>
      </c>
      <c r="AG153" s="195" t="s">
        <v>768</v>
      </c>
      <c r="AH153" s="204"/>
      <c r="AI153" s="204">
        <v>1.0</v>
      </c>
      <c r="AJ153" s="204">
        <v>6.0</v>
      </c>
      <c r="AK153" s="204"/>
      <c r="AL153" s="204">
        <v>1.0</v>
      </c>
      <c r="AM153" s="204"/>
      <c r="AN153" s="205">
        <f>(AH153*'Staff Rates (Internal)'!B$2)+(AI153*'Staff Rates (Internal)'!B$3)+(AJ153*'Staff Rates (Internal)'!B$4)+(AK153*'Staff Rates (Internal)'!B$5)+(AL153*'Staff Rates (Internal)'!B$6)+(AM153*'Staff Rates (Internal)'!B$7)</f>
        <v>469.5</v>
      </c>
      <c r="AO153" s="206">
        <f>(AH153*'Staff Rates (External)'!B$2)+(AI153*'Staff Rates (External)'!B$3)+(AJ153*'Staff Rates (External)'!B$4)+(AK153*'Staff Rates (External)'!B$5)+(AL153*'Staff Rates (External)'!B$6)+(AM153*'Staff Rates (External)'!B$7)</f>
        <v>2100</v>
      </c>
      <c r="AX153" s="204"/>
      <c r="AY153" s="204"/>
      <c r="AZ153" s="204"/>
      <c r="BA153" s="204"/>
      <c r="BB153" s="204"/>
      <c r="BC153" s="204"/>
      <c r="BD153" s="204"/>
      <c r="BE153" s="204"/>
      <c r="BF153" s="204"/>
      <c r="BG153" s="204"/>
      <c r="BH153" s="204"/>
      <c r="BI153" s="204"/>
      <c r="BJ153" s="204"/>
      <c r="BK153" s="204"/>
      <c r="BL153" s="204"/>
      <c r="BM153" s="204"/>
      <c r="BN153" s="204"/>
      <c r="BO153" s="204"/>
      <c r="BP153" s="204"/>
      <c r="BQ153" s="204"/>
      <c r="BR153" s="204"/>
      <c r="BS153" s="204"/>
      <c r="BT153" s="204"/>
      <c r="BU153" s="204"/>
      <c r="BV153" s="204"/>
      <c r="BW153" s="204"/>
      <c r="BX153" s="204"/>
      <c r="BY153" s="204"/>
      <c r="BZ153" s="204"/>
      <c r="CA153" s="204"/>
      <c r="CB153" s="207"/>
      <c r="CC153" s="208" t="str">
        <f t="shared" si="2"/>
        <v>Survey Review &amp; Consultation</v>
      </c>
      <c r="CD153" s="208">
        <f t="shared" si="3"/>
        <v>1.909090909</v>
      </c>
      <c r="CE153" s="203">
        <v>3.0</v>
      </c>
      <c r="CF153" s="203">
        <v>1.0</v>
      </c>
      <c r="CG153" s="203">
        <v>2.0</v>
      </c>
      <c r="CH153" s="203">
        <v>3.0</v>
      </c>
      <c r="CI153" s="203">
        <v>2.0</v>
      </c>
      <c r="CJ153" s="203">
        <v>3.0</v>
      </c>
      <c r="CK153" s="203">
        <v>2.0</v>
      </c>
      <c r="CL153" s="203">
        <v>2.0</v>
      </c>
      <c r="CM153" s="209">
        <v>1.0</v>
      </c>
      <c r="CN153" s="203">
        <v>1.0</v>
      </c>
      <c r="CO153" s="203">
        <v>1.0</v>
      </c>
    </row>
    <row r="154" ht="15.75" customHeight="1">
      <c r="A154" s="185" t="s">
        <v>1016</v>
      </c>
      <c r="B154" s="200" t="s">
        <v>1029</v>
      </c>
      <c r="C154" s="200" t="s">
        <v>320</v>
      </c>
      <c r="D154" s="200" t="s">
        <v>58</v>
      </c>
      <c r="E154" s="203" t="s">
        <v>1033</v>
      </c>
      <c r="F154" s="196" t="str">
        <f t="shared" si="8"/>
        <v>BSR-02 - Standard Plus</v>
      </c>
      <c r="G154" s="196" t="str">
        <f>'BX | Implementation &amp; Services'!D22</f>
        <v>Includes methodology review and consultation for:
1 survey in English
Up to 60 questions
1 survey pathway (no differences by market/category)
Up to 20 brands (including competitors)
Up to 3 rounds of iteration (one round of customer marked-up feedback on question content, response options, or logic that impacts 5 or more questions)
Assumptions:
The customer provides a fully written out questionnaire, including demographics and screener questions. Bullets or partially written questions will require design services and an additional cost.
The customer provides the questionnaire in a Word file, Google Doc, or similar format. Excel or Google Sheet formats will require additional scoping and costs.</v>
      </c>
      <c r="H154" s="197"/>
      <c r="I154" s="191"/>
      <c r="J154" s="191">
        <f>'BX | Implementation &amp; Services'!D23</f>
        <v>4500</v>
      </c>
      <c r="K154" s="198"/>
      <c r="L154" s="198"/>
      <c r="M154" s="198"/>
      <c r="N154" s="198"/>
      <c r="O154" s="199" t="s">
        <v>1031</v>
      </c>
      <c r="P154" s="199" t="s">
        <v>908</v>
      </c>
      <c r="Q154" s="215" t="s">
        <v>1021</v>
      </c>
      <c r="S154" s="200"/>
      <c r="T154" s="195" t="s">
        <v>765</v>
      </c>
      <c r="U154" s="195" t="s">
        <v>765</v>
      </c>
      <c r="V154" s="195" t="s">
        <v>765</v>
      </c>
      <c r="W154" s="201"/>
      <c r="AA154" s="195">
        <f>ROUNDUP(AN154,-1)</f>
        <v>630</v>
      </c>
      <c r="AB154" s="202">
        <v>0.76</v>
      </c>
      <c r="AC154" s="203" t="s">
        <v>108</v>
      </c>
      <c r="AD154" s="203" t="s">
        <v>108</v>
      </c>
      <c r="AE154" s="195" t="s">
        <v>1032</v>
      </c>
      <c r="AF154" s="195" t="s">
        <v>767</v>
      </c>
      <c r="AG154" s="195" t="s">
        <v>768</v>
      </c>
      <c r="AH154" s="204"/>
      <c r="AI154" s="204">
        <v>1.0</v>
      </c>
      <c r="AJ154" s="204"/>
      <c r="AK154" s="204">
        <v>6.0</v>
      </c>
      <c r="AL154" s="204">
        <v>1.0</v>
      </c>
      <c r="AM154" s="204"/>
      <c r="AN154" s="205">
        <f>(AH154*'Staff Rates (Internal)'!B$2)+(AI154*'Staff Rates (Internal)'!B$3)+(AJ154*'Staff Rates (Internal)'!B$4)+(AK154*'Staff Rates (Internal)'!B$5)+(AL154*'Staff Rates (Internal)'!B$6)+(AM154*'Staff Rates (Internal)'!B$7)</f>
        <v>622.5</v>
      </c>
      <c r="AO154" s="206">
        <f>(AH154*'Staff Rates (External)'!B$2)+(AI154*'Staff Rates (External)'!B$3)+(AJ154*'Staff Rates (External)'!B$4)+(AK154*'Staff Rates (External)'!B$5)+(AL154*'Staff Rates (External)'!B$6)+(AM154*'Staff Rates (External)'!B$7)</f>
        <v>2100</v>
      </c>
      <c r="AX154" s="204"/>
      <c r="AY154" s="204"/>
      <c r="AZ154" s="204"/>
      <c r="BA154" s="204"/>
      <c r="BB154" s="204"/>
      <c r="BC154" s="204"/>
      <c r="BD154" s="204"/>
      <c r="BE154" s="204"/>
      <c r="BF154" s="204"/>
      <c r="BG154" s="204"/>
      <c r="BH154" s="204"/>
      <c r="BI154" s="204"/>
      <c r="BJ154" s="204"/>
      <c r="BK154" s="204"/>
      <c r="BL154" s="204"/>
      <c r="BM154" s="204"/>
      <c r="BN154" s="204"/>
      <c r="BO154" s="204"/>
      <c r="BP154" s="204"/>
      <c r="BQ154" s="204"/>
      <c r="BR154" s="204"/>
      <c r="BS154" s="204"/>
      <c r="BT154" s="204"/>
      <c r="BU154" s="204"/>
      <c r="BV154" s="204"/>
      <c r="BW154" s="204"/>
      <c r="BX154" s="204"/>
      <c r="BY154" s="204"/>
      <c r="BZ154" s="204"/>
      <c r="CA154" s="204"/>
      <c r="CB154" s="207"/>
      <c r="CC154" s="208" t="str">
        <f t="shared" si="2"/>
        <v>Survey Review &amp; Consultation</v>
      </c>
      <c r="CD154" s="208">
        <f t="shared" si="3"/>
        <v>1.909090909</v>
      </c>
      <c r="CE154" s="203">
        <v>3.0</v>
      </c>
      <c r="CF154" s="203">
        <v>1.0</v>
      </c>
      <c r="CG154" s="203">
        <v>2.0</v>
      </c>
      <c r="CH154" s="203">
        <v>3.0</v>
      </c>
      <c r="CI154" s="203">
        <v>2.0</v>
      </c>
      <c r="CJ154" s="203">
        <v>3.0</v>
      </c>
      <c r="CK154" s="203">
        <v>2.0</v>
      </c>
      <c r="CL154" s="203">
        <v>2.0</v>
      </c>
      <c r="CM154" s="209">
        <v>1.0</v>
      </c>
      <c r="CN154" s="203">
        <v>1.0</v>
      </c>
      <c r="CO154" s="203">
        <v>1.0</v>
      </c>
    </row>
    <row r="155" ht="15.75" customHeight="1">
      <c r="A155" s="185" t="s">
        <v>1016</v>
      </c>
      <c r="B155" s="200" t="s">
        <v>1029</v>
      </c>
      <c r="C155" s="200" t="s">
        <v>320</v>
      </c>
      <c r="D155" s="200" t="s">
        <v>60</v>
      </c>
      <c r="E155" s="203" t="s">
        <v>1034</v>
      </c>
      <c r="F155" s="196" t="str">
        <f t="shared" si="8"/>
        <v>BSR-04 - Custom</v>
      </c>
      <c r="G155" s="196" t="str">
        <f>'BX | Implementation &amp; Services'!F22</f>
        <v>Includes methodology review and consultation for:
Multiple surveys
Surveys over 60 questions
Surveys with multiple pathways
Other cases not covered in standard or standard plus</v>
      </c>
      <c r="H155" s="235"/>
      <c r="I155" s="191"/>
      <c r="J155" s="191" t="str">
        <f>'BX | Implementation &amp; Services'!F23</f>
        <v>Custom Quote</v>
      </c>
      <c r="K155" s="198"/>
      <c r="L155" s="198"/>
      <c r="M155" s="198"/>
      <c r="N155" s="198"/>
      <c r="O155" s="198"/>
      <c r="P155" s="198"/>
      <c r="Q155" s="198"/>
      <c r="S155" s="200"/>
      <c r="T155" s="203" t="s">
        <v>765</v>
      </c>
      <c r="U155" s="203" t="s">
        <v>765</v>
      </c>
      <c r="V155" s="203" t="s">
        <v>765</v>
      </c>
      <c r="W155" s="207"/>
      <c r="AC155" s="203" t="s">
        <v>108</v>
      </c>
      <c r="AD155" s="203" t="s">
        <v>108</v>
      </c>
      <c r="AH155" s="204"/>
      <c r="AI155" s="204"/>
      <c r="AJ155" s="204"/>
      <c r="AK155" s="204"/>
      <c r="AL155" s="204"/>
      <c r="AM155" s="204"/>
      <c r="AN155" s="205">
        <f>(AH155*'Staff Rates (Internal)'!B$2)+(AI155*'Staff Rates (Internal)'!B$3)+(AJ155*'Staff Rates (Internal)'!B$4)+(AK155*'Staff Rates (Internal)'!B$5)+(AL155*'Staff Rates (Internal)'!B$6)+(AM155*'Staff Rates (Internal)'!B$7)</f>
        <v>0</v>
      </c>
      <c r="AO155" s="206">
        <f>(AH155*'Staff Rates (External)'!B$2)+(AI155*'Staff Rates (External)'!B$3)+(AJ155*'Staff Rates (External)'!B$4)+(AK155*'Staff Rates (External)'!B$5)+(AL155*'Staff Rates (External)'!B$6)+(AM155*'Staff Rates (External)'!B$7)</f>
        <v>0</v>
      </c>
      <c r="AX155" s="204"/>
      <c r="AY155" s="204"/>
      <c r="AZ155" s="204"/>
      <c r="BA155" s="204"/>
      <c r="BB155" s="204"/>
      <c r="BC155" s="204"/>
      <c r="BD155" s="204"/>
      <c r="BE155" s="204"/>
      <c r="BF155" s="204"/>
      <c r="BG155" s="204"/>
      <c r="BH155" s="204"/>
      <c r="BI155" s="204"/>
      <c r="BJ155" s="204"/>
      <c r="BK155" s="204"/>
      <c r="BL155" s="204"/>
      <c r="BM155" s="204"/>
      <c r="BN155" s="204"/>
      <c r="BO155" s="204"/>
      <c r="BP155" s="204"/>
      <c r="BQ155" s="204"/>
      <c r="BR155" s="204"/>
      <c r="BS155" s="204"/>
      <c r="BT155" s="204"/>
      <c r="BU155" s="204"/>
      <c r="BV155" s="204"/>
      <c r="BW155" s="204"/>
      <c r="BX155" s="204"/>
      <c r="BY155" s="204"/>
      <c r="BZ155" s="204"/>
      <c r="CA155" s="204"/>
      <c r="CB155" s="207"/>
      <c r="CC155" s="208" t="str">
        <f t="shared" si="2"/>
        <v>Survey Review &amp; Consultation</v>
      </c>
      <c r="CD155" s="208">
        <f t="shared" si="3"/>
        <v>1.727272727</v>
      </c>
      <c r="CE155" s="203">
        <v>1.0</v>
      </c>
      <c r="CF155" s="203">
        <v>1.0</v>
      </c>
      <c r="CG155" s="203">
        <v>2.0</v>
      </c>
      <c r="CH155" s="203">
        <v>3.0</v>
      </c>
      <c r="CI155" s="203">
        <v>2.0</v>
      </c>
      <c r="CJ155" s="203">
        <v>3.0</v>
      </c>
      <c r="CK155" s="203">
        <v>2.0</v>
      </c>
      <c r="CL155" s="203">
        <v>2.0</v>
      </c>
      <c r="CM155" s="209">
        <v>1.0</v>
      </c>
      <c r="CN155" s="203">
        <v>1.0</v>
      </c>
      <c r="CO155" s="203">
        <v>1.0</v>
      </c>
    </row>
    <row r="156" ht="15.75" customHeight="1">
      <c r="A156" s="185" t="s">
        <v>1016</v>
      </c>
      <c r="B156" s="200" t="s">
        <v>1029</v>
      </c>
      <c r="C156" s="200" t="s">
        <v>324</v>
      </c>
      <c r="D156" s="200" t="s">
        <v>56</v>
      </c>
      <c r="E156" s="203" t="s">
        <v>1035</v>
      </c>
      <c r="F156" s="196" t="str">
        <f t="shared" si="8"/>
        <v>BSD-01 - Standard</v>
      </c>
      <c r="G156" s="196" t="str">
        <f>'BX | Implementation &amp; Services'!C26</f>
        <v>Includes design for: 
1 survey in English
Up to 30 questions
1 survey pathway (no differences by market/category)
Up to 20 brands (including competitors)
Up to 10 brand attributes/imagery statements
Up to 2 rounds of iteration (one round of customer marked-up feedback on question content, response options, or logic that impacts 5 or more questions)
Includes design consultation on dashboard layout and content
Estimated Timing: 1-2 weeks</v>
      </c>
      <c r="H156" s="197"/>
      <c r="I156" s="191"/>
      <c r="J156" s="191">
        <f>'BX | Implementation &amp; Services'!C27</f>
        <v>6000</v>
      </c>
      <c r="K156" s="198"/>
      <c r="L156" s="198"/>
      <c r="M156" s="198"/>
      <c r="N156" s="198"/>
      <c r="O156" s="199" t="s">
        <v>1031</v>
      </c>
      <c r="P156" s="199" t="s">
        <v>908</v>
      </c>
      <c r="Q156" s="215" t="s">
        <v>1021</v>
      </c>
      <c r="S156" s="200"/>
      <c r="T156" s="203" t="s">
        <v>765</v>
      </c>
      <c r="U156" s="203" t="s">
        <v>765</v>
      </c>
      <c r="V156" s="203" t="s">
        <v>765</v>
      </c>
      <c r="W156" s="207"/>
      <c r="AC156" s="203" t="s">
        <v>108</v>
      </c>
      <c r="AD156" s="203" t="s">
        <v>108</v>
      </c>
      <c r="AH156" s="204"/>
      <c r="AI156" s="204"/>
      <c r="AJ156" s="204"/>
      <c r="AK156" s="204">
        <v>12.0</v>
      </c>
      <c r="AL156" s="204">
        <v>8.0</v>
      </c>
      <c r="AM156" s="204"/>
      <c r="AN156" s="205">
        <f>(AH156*'Staff Rates (Internal)'!B$2)+(AI156*'Staff Rates (Internal)'!B$3)+(AJ156*'Staff Rates (Internal)'!B$4)+(AK156*'Staff Rates (Internal)'!B$5)+(AL156*'Staff Rates (Internal)'!B$6)+(AM156*'Staff Rates (Internal)'!B$7)</f>
        <v>2010</v>
      </c>
      <c r="AO156" s="206">
        <f>(AH156*'Staff Rates (External)'!B$2)+(AI156*'Staff Rates (External)'!B$3)+(AJ156*'Staff Rates (External)'!B$4)+(AK156*'Staff Rates (External)'!B$5)+(AL156*'Staff Rates (External)'!B$6)+(AM156*'Staff Rates (External)'!B$7)</f>
        <v>5800</v>
      </c>
      <c r="AX156" s="204"/>
      <c r="AY156" s="204"/>
      <c r="AZ156" s="204"/>
      <c r="BA156" s="204"/>
      <c r="BB156" s="204"/>
      <c r="BC156" s="204"/>
      <c r="BD156" s="204"/>
      <c r="BE156" s="204"/>
      <c r="BF156" s="204"/>
      <c r="BG156" s="204"/>
      <c r="BH156" s="204"/>
      <c r="BI156" s="204"/>
      <c r="BJ156" s="204"/>
      <c r="BK156" s="204"/>
      <c r="BL156" s="204"/>
      <c r="BM156" s="204"/>
      <c r="BN156" s="204"/>
      <c r="BO156" s="204"/>
      <c r="BP156" s="204"/>
      <c r="BQ156" s="204"/>
      <c r="BR156" s="204"/>
      <c r="BS156" s="204"/>
      <c r="BT156" s="204"/>
      <c r="BU156" s="204"/>
      <c r="BV156" s="204"/>
      <c r="BW156" s="204"/>
      <c r="BX156" s="204"/>
      <c r="BY156" s="204"/>
      <c r="BZ156" s="204"/>
      <c r="CA156" s="204"/>
      <c r="CB156" s="207"/>
      <c r="CC156" s="208" t="str">
        <f t="shared" si="2"/>
        <v>Survey Design</v>
      </c>
      <c r="CD156" s="208">
        <f t="shared" si="3"/>
        <v>1.909090909</v>
      </c>
      <c r="CE156" s="203">
        <v>3.0</v>
      </c>
      <c r="CF156" s="203">
        <v>1.0</v>
      </c>
      <c r="CG156" s="203">
        <v>2.0</v>
      </c>
      <c r="CH156" s="203">
        <v>3.0</v>
      </c>
      <c r="CI156" s="203">
        <v>2.0</v>
      </c>
      <c r="CJ156" s="203">
        <v>3.0</v>
      </c>
      <c r="CK156" s="203">
        <v>2.0</v>
      </c>
      <c r="CL156" s="203">
        <v>2.0</v>
      </c>
      <c r="CM156" s="209">
        <v>1.0</v>
      </c>
      <c r="CN156" s="203">
        <v>1.0</v>
      </c>
      <c r="CO156" s="203">
        <v>1.0</v>
      </c>
    </row>
    <row r="157" ht="15.75" customHeight="1">
      <c r="A157" s="185" t="s">
        <v>1016</v>
      </c>
      <c r="B157" s="200" t="s">
        <v>1029</v>
      </c>
      <c r="C157" s="200" t="s">
        <v>324</v>
      </c>
      <c r="D157" s="200" t="s">
        <v>58</v>
      </c>
      <c r="E157" s="203" t="s">
        <v>1036</v>
      </c>
      <c r="F157" s="196" t="str">
        <f t="shared" si="8"/>
        <v>BSD-02 - Standard Plus</v>
      </c>
      <c r="G157" s="196" t="str">
        <f>'BX | Implementation &amp; Services'!D26</f>
        <v>Includes design for: 
1 survey in English
Up to 60 questions
1 survey pathway (no differences by market/category)
Up to 20 brands (including competitors)
Up to 20 brand attributes/imagery statements
Up to 3 rounds of iteration (one round of customer marked-up feedback on question content, response options, or logic that impacts 5 or more questions)
Includes design consultation on dashboard layout and content
Estimated Timing: 1-2 weeks</v>
      </c>
      <c r="H157" s="197"/>
      <c r="I157" s="191"/>
      <c r="J157" s="191">
        <f>'BX | Implementation &amp; Services'!D27</f>
        <v>8000</v>
      </c>
      <c r="K157" s="198"/>
      <c r="L157" s="198"/>
      <c r="M157" s="198"/>
      <c r="N157" s="198"/>
      <c r="O157" s="199" t="s">
        <v>1031</v>
      </c>
      <c r="P157" s="199" t="s">
        <v>908</v>
      </c>
      <c r="Q157" s="215" t="s">
        <v>1021</v>
      </c>
      <c r="S157" s="200"/>
      <c r="T157" s="203" t="s">
        <v>765</v>
      </c>
      <c r="U157" s="203" t="s">
        <v>765</v>
      </c>
      <c r="V157" s="203" t="s">
        <v>765</v>
      </c>
      <c r="W157" s="207"/>
      <c r="AC157" s="203" t="s">
        <v>108</v>
      </c>
      <c r="AD157" s="203" t="s">
        <v>108</v>
      </c>
      <c r="AH157" s="204"/>
      <c r="AI157" s="204"/>
      <c r="AJ157" s="204"/>
      <c r="AK157" s="204">
        <v>18.0</v>
      </c>
      <c r="AL157" s="204">
        <v>10.0</v>
      </c>
      <c r="AM157" s="204"/>
      <c r="AN157" s="205">
        <f>(AH157*'Staff Rates (Internal)'!B$2)+(AI157*'Staff Rates (Internal)'!B$3)+(AJ157*'Staff Rates (Internal)'!B$4)+(AK157*'Staff Rates (Internal)'!B$5)+(AL157*'Staff Rates (Internal)'!B$6)+(AM157*'Staff Rates (Internal)'!B$7)</f>
        <v>2715</v>
      </c>
      <c r="AO157" s="206">
        <f>(AH157*'Staff Rates (External)'!B$2)+(AI157*'Staff Rates (External)'!B$3)+(AJ157*'Staff Rates (External)'!B$4)+(AK157*'Staff Rates (External)'!B$5)+(AL157*'Staff Rates (External)'!B$6)+(AM157*'Staff Rates (External)'!B$7)</f>
        <v>8000</v>
      </c>
      <c r="AX157" s="204"/>
      <c r="AY157" s="204"/>
      <c r="AZ157" s="204"/>
      <c r="BA157" s="204"/>
      <c r="BB157" s="204"/>
      <c r="BC157" s="204"/>
      <c r="BD157" s="204"/>
      <c r="BE157" s="204"/>
      <c r="BF157" s="204"/>
      <c r="BG157" s="204"/>
      <c r="BH157" s="204"/>
      <c r="BI157" s="204"/>
      <c r="BJ157" s="204"/>
      <c r="BK157" s="204"/>
      <c r="BL157" s="204"/>
      <c r="BM157" s="204"/>
      <c r="BN157" s="204"/>
      <c r="BO157" s="204"/>
      <c r="BP157" s="204"/>
      <c r="BQ157" s="204"/>
      <c r="BR157" s="204"/>
      <c r="BS157" s="204"/>
      <c r="BT157" s="204"/>
      <c r="BU157" s="204"/>
      <c r="BV157" s="204"/>
      <c r="BW157" s="204"/>
      <c r="BX157" s="204"/>
      <c r="BY157" s="204"/>
      <c r="BZ157" s="204"/>
      <c r="CA157" s="204"/>
      <c r="CB157" s="207"/>
      <c r="CC157" s="208" t="str">
        <f t="shared" si="2"/>
        <v>Survey Design</v>
      </c>
      <c r="CD157" s="208">
        <f t="shared" si="3"/>
        <v>1.909090909</v>
      </c>
      <c r="CE157" s="203">
        <v>3.0</v>
      </c>
      <c r="CF157" s="203">
        <v>1.0</v>
      </c>
      <c r="CG157" s="203">
        <v>2.0</v>
      </c>
      <c r="CH157" s="203">
        <v>3.0</v>
      </c>
      <c r="CI157" s="203">
        <v>2.0</v>
      </c>
      <c r="CJ157" s="203">
        <v>3.0</v>
      </c>
      <c r="CK157" s="203">
        <v>2.0</v>
      </c>
      <c r="CL157" s="203">
        <v>2.0</v>
      </c>
      <c r="CM157" s="209">
        <v>1.0</v>
      </c>
      <c r="CN157" s="203">
        <v>1.0</v>
      </c>
      <c r="CO157" s="203">
        <v>1.0</v>
      </c>
    </row>
    <row r="158" ht="15.75" customHeight="1">
      <c r="A158" s="185" t="s">
        <v>1016</v>
      </c>
      <c r="B158" s="200" t="s">
        <v>1029</v>
      </c>
      <c r="C158" s="200" t="s">
        <v>324</v>
      </c>
      <c r="D158" s="200" t="s">
        <v>60</v>
      </c>
      <c r="E158" s="203" t="s">
        <v>1037</v>
      </c>
      <c r="F158" s="196" t="str">
        <f t="shared" si="8"/>
        <v>BSD-04 - Custom</v>
      </c>
      <c r="G158" s="196" t="str">
        <f>'BX | Implementation &amp; Services'!F26</f>
        <v>Includes survey design for:
Multiple surveys
Surveys over 60 questions
Surveys with multiple pathways
Other cases not covered in standard or standard plus</v>
      </c>
      <c r="H158" s="235"/>
      <c r="I158" s="191"/>
      <c r="J158" s="191" t="str">
        <f>'BX | Implementation &amp; Services'!F27</f>
        <v>Custom Quote</v>
      </c>
      <c r="K158" s="198"/>
      <c r="L158" s="198"/>
      <c r="M158" s="198"/>
      <c r="N158" s="198"/>
      <c r="O158" s="198"/>
      <c r="P158" s="198"/>
      <c r="Q158" s="198"/>
      <c r="S158" s="200"/>
      <c r="T158" s="203" t="s">
        <v>765</v>
      </c>
      <c r="U158" s="203" t="s">
        <v>765</v>
      </c>
      <c r="V158" s="203" t="s">
        <v>765</v>
      </c>
      <c r="W158" s="207"/>
      <c r="AC158" s="203" t="s">
        <v>108</v>
      </c>
      <c r="AD158" s="203" t="s">
        <v>108</v>
      </c>
      <c r="AH158" s="204"/>
      <c r="AI158" s="204"/>
      <c r="AJ158" s="204"/>
      <c r="AK158" s="204"/>
      <c r="AL158" s="204"/>
      <c r="AM158" s="204"/>
      <c r="AN158" s="204"/>
      <c r="AX158" s="204"/>
      <c r="AY158" s="204"/>
      <c r="AZ158" s="204"/>
      <c r="BA158" s="204"/>
      <c r="BB158" s="204"/>
      <c r="BC158" s="204"/>
      <c r="BD158" s="204"/>
      <c r="BE158" s="204"/>
      <c r="BF158" s="204"/>
      <c r="BG158" s="204"/>
      <c r="BH158" s="204"/>
      <c r="BI158" s="204"/>
      <c r="BJ158" s="204"/>
      <c r="BK158" s="204"/>
      <c r="BL158" s="204"/>
      <c r="BM158" s="204"/>
      <c r="BN158" s="204"/>
      <c r="BO158" s="204"/>
      <c r="BP158" s="204"/>
      <c r="BQ158" s="204"/>
      <c r="BR158" s="204"/>
      <c r="BS158" s="204"/>
      <c r="BT158" s="204"/>
      <c r="BU158" s="204"/>
      <c r="BV158" s="204"/>
      <c r="BW158" s="204"/>
      <c r="BX158" s="204"/>
      <c r="BY158" s="204"/>
      <c r="BZ158" s="204"/>
      <c r="CA158" s="204"/>
      <c r="CB158" s="207"/>
      <c r="CC158" s="208" t="str">
        <f t="shared" si="2"/>
        <v>Survey Design</v>
      </c>
      <c r="CD158" s="208">
        <f t="shared" si="3"/>
        <v>1.727272727</v>
      </c>
      <c r="CE158" s="203">
        <v>1.0</v>
      </c>
      <c r="CF158" s="203">
        <v>1.0</v>
      </c>
      <c r="CG158" s="203">
        <v>2.0</v>
      </c>
      <c r="CH158" s="203">
        <v>3.0</v>
      </c>
      <c r="CI158" s="203">
        <v>2.0</v>
      </c>
      <c r="CJ158" s="203">
        <v>3.0</v>
      </c>
      <c r="CK158" s="203">
        <v>2.0</v>
      </c>
      <c r="CL158" s="203">
        <v>2.0</v>
      </c>
      <c r="CM158" s="209">
        <v>1.0</v>
      </c>
      <c r="CN158" s="203">
        <v>1.0</v>
      </c>
      <c r="CO158" s="203">
        <v>1.0</v>
      </c>
    </row>
    <row r="159" ht="15.75" customHeight="1">
      <c r="A159" s="185" t="s">
        <v>1016</v>
      </c>
      <c r="B159" s="200" t="s">
        <v>1029</v>
      </c>
      <c r="C159" s="200" t="s">
        <v>1038</v>
      </c>
      <c r="D159" s="200" t="s">
        <v>1039</v>
      </c>
      <c r="E159" s="203" t="s">
        <v>1040</v>
      </c>
      <c r="F159" s="196" t="str">
        <f t="shared" ref="F159:F162" si="12">E159</f>
        <v>RSRXConsult</v>
      </c>
      <c r="G159" s="196" t="str">
        <f>'BX | Implementation &amp; Services'!C30</f>
        <v>Research Analyst or Specialist
Customer may engage a Qualtrics research expert for survey programming, dashboard programming, analytics support, data consultation and data interpretation.</v>
      </c>
      <c r="H159" s="197"/>
      <c r="I159" s="191"/>
      <c r="J159" s="191" t="str">
        <f>'BX | Implementation &amp; Services'!C31</f>
        <v>$250 per hour</v>
      </c>
      <c r="K159" s="198"/>
      <c r="L159" s="198"/>
      <c r="M159" s="198"/>
      <c r="N159" s="198"/>
      <c r="O159" s="198"/>
      <c r="P159" s="198"/>
      <c r="Q159" s="198"/>
      <c r="S159" s="200"/>
      <c r="T159" s="203" t="s">
        <v>765</v>
      </c>
      <c r="U159" s="203" t="s">
        <v>765</v>
      </c>
      <c r="V159" s="203" t="s">
        <v>765</v>
      </c>
      <c r="W159" s="207"/>
      <c r="AC159" s="203">
        <v>0.0</v>
      </c>
      <c r="AD159" s="203">
        <v>1.0</v>
      </c>
      <c r="AH159" s="204"/>
      <c r="AI159" s="204"/>
      <c r="AJ159" s="204"/>
      <c r="AK159" s="204"/>
      <c r="AL159" s="204"/>
      <c r="AM159" s="204"/>
      <c r="AN159" s="204"/>
      <c r="AX159" s="204"/>
      <c r="AY159" s="204"/>
      <c r="AZ159" s="204"/>
      <c r="BA159" s="204"/>
      <c r="BB159" s="204"/>
      <c r="BC159" s="204"/>
      <c r="BD159" s="204"/>
      <c r="BE159" s="204"/>
      <c r="BF159" s="204"/>
      <c r="BG159" s="204"/>
      <c r="BH159" s="204"/>
      <c r="BI159" s="204"/>
      <c r="BJ159" s="204"/>
      <c r="BK159" s="204"/>
      <c r="BL159" s="204"/>
      <c r="BM159" s="204"/>
      <c r="BN159" s="204"/>
      <c r="BO159" s="204"/>
      <c r="BP159" s="204"/>
      <c r="BQ159" s="204"/>
      <c r="BR159" s="204"/>
      <c r="BS159" s="204"/>
      <c r="BT159" s="204"/>
      <c r="BU159" s="204"/>
      <c r="BV159" s="204"/>
      <c r="BW159" s="204"/>
      <c r="BX159" s="204"/>
      <c r="BY159" s="204"/>
      <c r="BZ159" s="204"/>
      <c r="CA159" s="204"/>
      <c r="CB159" s="207"/>
      <c r="CC159" s="208" t="str">
        <f t="shared" si="2"/>
        <v>Consultation Services</v>
      </c>
      <c r="CD159" s="208">
        <f t="shared" si="3"/>
        <v>1.6</v>
      </c>
      <c r="CE159" s="203">
        <v>3.0</v>
      </c>
      <c r="CF159" s="203">
        <v>1.0</v>
      </c>
      <c r="CG159" s="203">
        <v>2.0</v>
      </c>
      <c r="CH159" s="203">
        <v>1.0</v>
      </c>
      <c r="CI159" s="203">
        <v>2.0</v>
      </c>
      <c r="CJ159" s="203">
        <v>2.0</v>
      </c>
      <c r="CK159" s="203" t="s">
        <v>43</v>
      </c>
      <c r="CL159" s="203">
        <v>2.0</v>
      </c>
      <c r="CM159" s="209">
        <v>1.0</v>
      </c>
      <c r="CN159" s="203">
        <v>1.0</v>
      </c>
      <c r="CO159" s="203">
        <v>1.0</v>
      </c>
    </row>
    <row r="160" ht="42.75" customHeight="1">
      <c r="A160" s="185" t="s">
        <v>1016</v>
      </c>
      <c r="B160" s="200" t="s">
        <v>1029</v>
      </c>
      <c r="C160" s="200" t="s">
        <v>1038</v>
      </c>
      <c r="D160" s="200" t="s">
        <v>1041</v>
      </c>
      <c r="E160" s="203" t="s">
        <v>1040</v>
      </c>
      <c r="F160" s="196" t="str">
        <f t="shared" si="12"/>
        <v>RSRXConsult</v>
      </c>
      <c r="G160" s="196" t="str">
        <f>'BX | Implementation &amp; Services'!D30</f>
        <v>Research Manager
Customer may engage a Qualtrics research manager for analytics support, data consultation and data interpretation.</v>
      </c>
      <c r="H160" s="197"/>
      <c r="I160" s="191"/>
      <c r="J160" s="191" t="str">
        <f>'BX | Implementation &amp; Services'!D31</f>
        <v>$350 per hour</v>
      </c>
      <c r="K160" s="198"/>
      <c r="L160" s="198"/>
      <c r="M160" s="198"/>
      <c r="N160" s="198"/>
      <c r="O160" s="198"/>
      <c r="P160" s="198"/>
      <c r="Q160" s="198"/>
      <c r="S160" s="200"/>
      <c r="T160" s="203" t="s">
        <v>765</v>
      </c>
      <c r="U160" s="203" t="s">
        <v>765</v>
      </c>
      <c r="V160" s="203" t="s">
        <v>765</v>
      </c>
      <c r="W160" s="207"/>
      <c r="AC160" s="203">
        <v>0.0</v>
      </c>
      <c r="AD160" s="203">
        <v>1.0</v>
      </c>
      <c r="AH160" s="204"/>
      <c r="AI160" s="204"/>
      <c r="AJ160" s="204"/>
      <c r="AK160" s="204"/>
      <c r="AL160" s="204"/>
      <c r="AM160" s="204"/>
      <c r="AN160" s="204"/>
      <c r="AX160" s="204"/>
      <c r="AY160" s="204"/>
      <c r="AZ160" s="204"/>
      <c r="BA160" s="204"/>
      <c r="BB160" s="204"/>
      <c r="BC160" s="204"/>
      <c r="BD160" s="204"/>
      <c r="BE160" s="204"/>
      <c r="BF160" s="204"/>
      <c r="BG160" s="204"/>
      <c r="BH160" s="204"/>
      <c r="BI160" s="204"/>
      <c r="BJ160" s="204"/>
      <c r="BK160" s="204"/>
      <c r="BL160" s="204"/>
      <c r="BM160" s="204"/>
      <c r="BN160" s="204"/>
      <c r="BO160" s="204"/>
      <c r="BP160" s="204"/>
      <c r="BQ160" s="204"/>
      <c r="BR160" s="204"/>
      <c r="BS160" s="204"/>
      <c r="BT160" s="204"/>
      <c r="BU160" s="204"/>
      <c r="BV160" s="204"/>
      <c r="BW160" s="204"/>
      <c r="BX160" s="204"/>
      <c r="BY160" s="204"/>
      <c r="BZ160" s="204"/>
      <c r="CA160" s="204"/>
      <c r="CB160" s="207"/>
      <c r="CC160" s="208" t="str">
        <f t="shared" si="2"/>
        <v>Consultation Services</v>
      </c>
      <c r="CD160" s="208">
        <f t="shared" si="3"/>
        <v>1.6</v>
      </c>
      <c r="CE160" s="203">
        <v>3.0</v>
      </c>
      <c r="CF160" s="203">
        <v>1.0</v>
      </c>
      <c r="CG160" s="203">
        <v>2.0</v>
      </c>
      <c r="CH160" s="203">
        <v>1.0</v>
      </c>
      <c r="CI160" s="203">
        <v>2.0</v>
      </c>
      <c r="CJ160" s="203">
        <v>2.0</v>
      </c>
      <c r="CK160" s="203" t="s">
        <v>43</v>
      </c>
      <c r="CL160" s="203">
        <v>2.0</v>
      </c>
      <c r="CM160" s="209">
        <v>1.0</v>
      </c>
      <c r="CN160" s="203">
        <v>1.0</v>
      </c>
      <c r="CO160" s="203">
        <v>1.0</v>
      </c>
    </row>
    <row r="161" ht="48.75" customHeight="1">
      <c r="A161" s="185" t="s">
        <v>1016</v>
      </c>
      <c r="B161" s="200" t="s">
        <v>1029</v>
      </c>
      <c r="C161" s="200" t="s">
        <v>1038</v>
      </c>
      <c r="D161" s="200" t="s">
        <v>1042</v>
      </c>
      <c r="E161" s="203" t="s">
        <v>1043</v>
      </c>
      <c r="F161" s="196" t="str">
        <f t="shared" si="12"/>
        <v>RSSME</v>
      </c>
      <c r="G161" s="196" t="str">
        <f>'BX | Implementation &amp; Services'!C33</f>
        <v>Customer may engage a Qualtrics XMS for methodology or analytics advice and consultation. </v>
      </c>
      <c r="H161" s="235"/>
      <c r="I161" s="191"/>
      <c r="J161" s="191" t="str">
        <f>'BX | Implementation &amp; Services'!C34</f>
        <v>$350 per hour</v>
      </c>
      <c r="K161" s="198"/>
      <c r="L161" s="198"/>
      <c r="M161" s="198"/>
      <c r="N161" s="198"/>
      <c r="O161" s="198"/>
      <c r="P161" s="198"/>
      <c r="Q161" s="198"/>
      <c r="S161" s="200"/>
      <c r="T161" s="203" t="s">
        <v>765</v>
      </c>
      <c r="U161" s="203" t="s">
        <v>765</v>
      </c>
      <c r="V161" s="203" t="s">
        <v>765</v>
      </c>
      <c r="W161" s="207"/>
      <c r="AC161" s="203">
        <v>0.0</v>
      </c>
      <c r="AD161" s="203">
        <v>1.0</v>
      </c>
      <c r="AH161" s="204"/>
      <c r="AI161" s="204"/>
      <c r="AJ161" s="204"/>
      <c r="AK161" s="204"/>
      <c r="AL161" s="204"/>
      <c r="AM161" s="204"/>
      <c r="AN161" s="204"/>
      <c r="AX161" s="204"/>
      <c r="AY161" s="204"/>
      <c r="AZ161" s="204"/>
      <c r="BA161" s="204"/>
      <c r="BB161" s="204"/>
      <c r="BC161" s="204"/>
      <c r="BD161" s="204"/>
      <c r="BE161" s="204"/>
      <c r="BF161" s="204"/>
      <c r="BG161" s="204"/>
      <c r="BH161" s="204"/>
      <c r="BI161" s="204"/>
      <c r="BJ161" s="204"/>
      <c r="BK161" s="204"/>
      <c r="BL161" s="204"/>
      <c r="BM161" s="204"/>
      <c r="BN161" s="204"/>
      <c r="BO161" s="204"/>
      <c r="BP161" s="204"/>
      <c r="BQ161" s="204"/>
      <c r="BR161" s="204"/>
      <c r="BS161" s="204"/>
      <c r="BT161" s="204"/>
      <c r="BU161" s="204"/>
      <c r="BV161" s="204"/>
      <c r="BW161" s="204"/>
      <c r="BX161" s="204"/>
      <c r="BY161" s="204"/>
      <c r="BZ161" s="204"/>
      <c r="CA161" s="204"/>
      <c r="CB161" s="207"/>
      <c r="CC161" s="208" t="str">
        <f t="shared" si="2"/>
        <v>Consultation Services</v>
      </c>
      <c r="CD161" s="208">
        <f t="shared" si="3"/>
        <v>1.6</v>
      </c>
      <c r="CE161" s="203">
        <v>3.0</v>
      </c>
      <c r="CF161" s="203">
        <v>1.0</v>
      </c>
      <c r="CG161" s="203">
        <v>2.0</v>
      </c>
      <c r="CH161" s="203">
        <v>1.0</v>
      </c>
      <c r="CI161" s="203">
        <v>2.0</v>
      </c>
      <c r="CJ161" s="203">
        <v>2.0</v>
      </c>
      <c r="CK161" s="203" t="s">
        <v>43</v>
      </c>
      <c r="CL161" s="203">
        <v>2.0</v>
      </c>
      <c r="CM161" s="209">
        <v>1.0</v>
      </c>
      <c r="CN161" s="203">
        <v>1.0</v>
      </c>
      <c r="CO161" s="203">
        <v>1.0</v>
      </c>
    </row>
    <row r="162" ht="40.5" customHeight="1">
      <c r="A162" s="185" t="s">
        <v>1016</v>
      </c>
      <c r="B162" s="200" t="s">
        <v>1029</v>
      </c>
      <c r="C162" s="200" t="s">
        <v>1038</v>
      </c>
      <c r="D162" s="200" t="s">
        <v>1044</v>
      </c>
      <c r="E162" s="203" t="s">
        <v>1045</v>
      </c>
      <c r="F162" s="196" t="str">
        <f t="shared" si="12"/>
        <v>RSTCConsult</v>
      </c>
      <c r="G162" s="241" t="str">
        <f>'BX | Implementation &amp; Services'!C36</f>
        <v>Customer may engage a Qualtrics technology consultation for survey programming and dashboard programming.</v>
      </c>
      <c r="H162" s="242"/>
      <c r="I162" s="191"/>
      <c r="J162" s="191" t="str">
        <f>'BX | Implementation &amp; Services'!C37</f>
        <v>$250 per hour</v>
      </c>
      <c r="K162" s="198"/>
      <c r="L162" s="198"/>
      <c r="M162" s="198"/>
      <c r="N162" s="198"/>
      <c r="O162" s="198"/>
      <c r="P162" s="198"/>
      <c r="Q162" s="198"/>
      <c r="S162" s="200"/>
      <c r="T162" s="203" t="s">
        <v>765</v>
      </c>
      <c r="U162" s="203" t="s">
        <v>765</v>
      </c>
      <c r="V162" s="203" t="s">
        <v>765</v>
      </c>
      <c r="W162" s="207"/>
      <c r="AC162" s="203">
        <v>0.0</v>
      </c>
      <c r="AD162" s="203">
        <v>1.0</v>
      </c>
      <c r="AH162" s="204"/>
      <c r="AI162" s="204"/>
      <c r="AJ162" s="204"/>
      <c r="AK162" s="204"/>
      <c r="AL162" s="204"/>
      <c r="AM162" s="204"/>
      <c r="AN162" s="204"/>
      <c r="AX162" s="204"/>
      <c r="AY162" s="204"/>
      <c r="AZ162" s="204"/>
      <c r="BA162" s="204"/>
      <c r="BB162" s="204"/>
      <c r="BC162" s="204"/>
      <c r="BD162" s="204"/>
      <c r="BE162" s="204"/>
      <c r="BF162" s="204"/>
      <c r="BG162" s="204"/>
      <c r="BH162" s="204"/>
      <c r="BI162" s="204"/>
      <c r="BJ162" s="204"/>
      <c r="BK162" s="204"/>
      <c r="BL162" s="204"/>
      <c r="BM162" s="204"/>
      <c r="BN162" s="204"/>
      <c r="BO162" s="204"/>
      <c r="BP162" s="204"/>
      <c r="BQ162" s="204"/>
      <c r="BR162" s="204"/>
      <c r="BS162" s="204"/>
      <c r="BT162" s="204"/>
      <c r="BU162" s="204"/>
      <c r="BV162" s="204"/>
      <c r="BW162" s="204"/>
      <c r="BX162" s="204"/>
      <c r="BY162" s="204"/>
      <c r="BZ162" s="204"/>
      <c r="CA162" s="204"/>
      <c r="CB162" s="207"/>
      <c r="CC162" s="208" t="str">
        <f t="shared" si="2"/>
        <v>Consultation Services</v>
      </c>
      <c r="CD162" s="208">
        <f t="shared" si="3"/>
        <v>1.555555556</v>
      </c>
      <c r="CE162" s="203">
        <v>3.0</v>
      </c>
      <c r="CF162" s="203">
        <v>1.0</v>
      </c>
      <c r="CG162" s="203">
        <v>2.0</v>
      </c>
      <c r="CH162" s="203">
        <v>1.0</v>
      </c>
      <c r="CI162" s="203">
        <v>2.0</v>
      </c>
      <c r="CJ162" s="203" t="s">
        <v>43</v>
      </c>
      <c r="CK162" s="203" t="s">
        <v>43</v>
      </c>
      <c r="CL162" s="203">
        <v>2.0</v>
      </c>
      <c r="CM162" s="209">
        <v>1.0</v>
      </c>
      <c r="CN162" s="203">
        <v>1.0</v>
      </c>
      <c r="CO162" s="203">
        <v>1.0</v>
      </c>
    </row>
    <row r="163" ht="15.75" customHeight="1">
      <c r="A163" s="185" t="s">
        <v>1016</v>
      </c>
      <c r="B163" s="200" t="s">
        <v>1046</v>
      </c>
      <c r="C163" s="200" t="str">
        <f>'BX | Implementation &amp; Services'!A39</f>
        <v>BX Ongoing Success Packages: Base</v>
      </c>
      <c r="D163" s="200" t="s">
        <v>56</v>
      </c>
      <c r="E163" s="203" t="s">
        <v>43</v>
      </c>
      <c r="F163" s="203" t="s">
        <v>43</v>
      </c>
      <c r="G163" s="196" t="str">
        <f>'BX | Implementation &amp; Services'!C39</f>
        <v>Support on BX Licenses which includes:
Standard Product Support &amp; Customer Success</v>
      </c>
      <c r="H163" s="235"/>
      <c r="I163" s="191"/>
      <c r="J163" s="191" t="str">
        <f>'BX | Implementation &amp; Services'!C40</f>
        <v>Included with all BX licenses
(CSM coverage varies by spend tier and included only if license spend &gt;$50k)</v>
      </c>
      <c r="K163" s="198"/>
      <c r="L163" s="198"/>
      <c r="M163" s="198"/>
      <c r="N163" s="198"/>
      <c r="O163" s="198"/>
      <c r="P163" s="198"/>
      <c r="Q163" s="198"/>
      <c r="S163" s="200"/>
      <c r="T163" s="203" t="s">
        <v>765</v>
      </c>
      <c r="U163" s="203" t="s">
        <v>765</v>
      </c>
      <c r="V163" s="203" t="s">
        <v>765</v>
      </c>
      <c r="W163" s="207"/>
      <c r="AC163" s="203" t="s">
        <v>108</v>
      </c>
      <c r="AD163" s="203" t="s">
        <v>108</v>
      </c>
      <c r="AE163" s="203" t="s">
        <v>108</v>
      </c>
      <c r="AH163" s="204"/>
      <c r="AI163" s="204"/>
      <c r="AJ163" s="204"/>
      <c r="AK163" s="204"/>
      <c r="AL163" s="204"/>
      <c r="AM163" s="204"/>
      <c r="AN163" s="204"/>
      <c r="AX163" s="204"/>
      <c r="AY163" s="204"/>
      <c r="AZ163" s="204"/>
      <c r="BA163" s="204"/>
      <c r="BB163" s="204"/>
      <c r="BC163" s="204"/>
      <c r="BD163" s="204"/>
      <c r="BE163" s="204"/>
      <c r="BF163" s="204"/>
      <c r="BG163" s="204"/>
      <c r="BH163" s="204"/>
      <c r="BI163" s="204"/>
      <c r="BJ163" s="204"/>
      <c r="BK163" s="204"/>
      <c r="BL163" s="204"/>
      <c r="BM163" s="204"/>
      <c r="BN163" s="204"/>
      <c r="BO163" s="204"/>
      <c r="BP163" s="204"/>
      <c r="BQ163" s="204"/>
      <c r="BR163" s="204"/>
      <c r="BS163" s="204"/>
      <c r="BT163" s="204"/>
      <c r="BU163" s="204"/>
      <c r="BV163" s="204"/>
      <c r="BW163" s="204"/>
      <c r="BX163" s="204"/>
      <c r="BY163" s="204"/>
      <c r="BZ163" s="204"/>
      <c r="CA163" s="204"/>
      <c r="CB163" s="207"/>
      <c r="CM163" s="209"/>
    </row>
    <row r="164" ht="15.75" customHeight="1">
      <c r="A164" s="185" t="s">
        <v>1016</v>
      </c>
      <c r="B164" s="200" t="s">
        <v>1046</v>
      </c>
      <c r="C164" s="200" t="str">
        <f>'BX | Implementation &amp; Services'!A42</f>
        <v>BX Ongoing Success Packages: Guided</v>
      </c>
      <c r="D164" s="200" t="s">
        <v>56</v>
      </c>
      <c r="E164" s="203" t="s">
        <v>1047</v>
      </c>
      <c r="F164" s="196" t="str">
        <f t="shared" ref="F164:F167" si="13">E164&amp;" - "&amp;D164</f>
        <v>BSG-01 - Standard</v>
      </c>
      <c r="G164" s="196" t="s">
        <v>1048</v>
      </c>
      <c r="H164" s="197"/>
      <c r="I164" s="191"/>
      <c r="J164" s="191" t="str">
        <f>'BX | Implementation &amp; Services'!C43</f>
        <v>$6,000/year</v>
      </c>
      <c r="K164" s="198"/>
      <c r="L164" s="198"/>
      <c r="M164" s="198"/>
      <c r="N164" s="198"/>
      <c r="O164" s="198"/>
      <c r="P164" s="198"/>
      <c r="Q164" s="198"/>
      <c r="S164" s="200"/>
      <c r="T164" s="203" t="s">
        <v>765</v>
      </c>
      <c r="U164" s="203" t="s">
        <v>765</v>
      </c>
      <c r="V164" s="203" t="s">
        <v>765</v>
      </c>
      <c r="W164" s="207"/>
      <c r="AC164" s="203" t="s">
        <v>108</v>
      </c>
      <c r="AD164" s="203" t="s">
        <v>108</v>
      </c>
      <c r="AE164" s="203" t="s">
        <v>108</v>
      </c>
      <c r="AH164" s="204"/>
      <c r="AI164" s="204"/>
      <c r="AJ164" s="204"/>
      <c r="AK164" s="204"/>
      <c r="AL164" s="204"/>
      <c r="AM164" s="204"/>
      <c r="AN164" s="204"/>
      <c r="AX164" s="204"/>
      <c r="AY164" s="204"/>
      <c r="AZ164" s="204"/>
      <c r="BA164" s="204"/>
      <c r="BB164" s="204"/>
      <c r="BC164" s="204"/>
      <c r="BD164" s="204"/>
      <c r="BE164" s="204"/>
      <c r="BF164" s="204"/>
      <c r="BG164" s="204"/>
      <c r="BH164" s="204"/>
      <c r="BI164" s="204"/>
      <c r="BJ164" s="204"/>
      <c r="BK164" s="204"/>
      <c r="BL164" s="204"/>
      <c r="BM164" s="204"/>
      <c r="BN164" s="204"/>
      <c r="BO164" s="204"/>
      <c r="BP164" s="204"/>
      <c r="BQ164" s="204"/>
      <c r="BR164" s="204"/>
      <c r="BS164" s="204"/>
      <c r="BT164" s="204"/>
      <c r="BU164" s="204"/>
      <c r="BV164" s="204"/>
      <c r="BW164" s="204"/>
      <c r="BX164" s="204"/>
      <c r="BY164" s="204"/>
      <c r="BZ164" s="204"/>
      <c r="CA164" s="204"/>
      <c r="CB164" s="207"/>
      <c r="CM164" s="209"/>
    </row>
    <row r="165" ht="15.75" customHeight="1">
      <c r="A165" s="185" t="s">
        <v>1016</v>
      </c>
      <c r="B165" s="200" t="s">
        <v>1046</v>
      </c>
      <c r="C165" s="200" t="str">
        <f>'BX | Implementation &amp; Services'!A42</f>
        <v>BX Ongoing Success Packages: Guided</v>
      </c>
      <c r="D165" s="200" t="s">
        <v>58</v>
      </c>
      <c r="E165" s="203" t="s">
        <v>1049</v>
      </c>
      <c r="F165" s="196" t="str">
        <f t="shared" si="13"/>
        <v>BSG-02 - Standard Plus</v>
      </c>
      <c r="G165" s="196" t="str">
        <f>'BX | Implementation &amp; Services'!D42</f>
        <v>Support on BX Licenses which includes:
Standard Product Support &amp; Customer Success
Quarterly consulting retainer for up to 10 hours per quarter that could be used for:
Minor question or dashboard edits
Data interpretation and consulting
Thought partnership</v>
      </c>
      <c r="H165" s="235"/>
      <c r="I165" s="191"/>
      <c r="J165" s="191" t="str">
        <f>'BX | Implementation &amp; Services'!D43</f>
        <v>$12,000/year</v>
      </c>
      <c r="K165" s="198"/>
      <c r="L165" s="198"/>
      <c r="M165" s="198"/>
      <c r="N165" s="198"/>
      <c r="O165" s="198"/>
      <c r="P165" s="198"/>
      <c r="Q165" s="198"/>
      <c r="S165" s="200"/>
      <c r="T165" s="203" t="s">
        <v>765</v>
      </c>
      <c r="U165" s="203" t="s">
        <v>765</v>
      </c>
      <c r="V165" s="203" t="s">
        <v>765</v>
      </c>
      <c r="W165" s="207"/>
      <c r="AC165" s="203" t="s">
        <v>108</v>
      </c>
      <c r="AD165" s="203" t="s">
        <v>108</v>
      </c>
      <c r="AE165" s="203" t="s">
        <v>108</v>
      </c>
      <c r="AH165" s="204"/>
      <c r="AI165" s="204"/>
      <c r="AJ165" s="204"/>
      <c r="AK165" s="204"/>
      <c r="AL165" s="204"/>
      <c r="AM165" s="204"/>
      <c r="AN165" s="204"/>
      <c r="AX165" s="204"/>
      <c r="AY165" s="204"/>
      <c r="AZ165" s="204"/>
      <c r="BA165" s="204"/>
      <c r="BB165" s="204"/>
      <c r="BC165" s="204"/>
      <c r="BD165" s="204"/>
      <c r="BE165" s="204"/>
      <c r="BF165" s="204"/>
      <c r="BG165" s="204"/>
      <c r="BH165" s="204"/>
      <c r="BI165" s="204"/>
      <c r="BJ165" s="204"/>
      <c r="BK165" s="204"/>
      <c r="BL165" s="204"/>
      <c r="BM165" s="204"/>
      <c r="BN165" s="204"/>
      <c r="BO165" s="204"/>
      <c r="BP165" s="204"/>
      <c r="BQ165" s="204"/>
      <c r="BR165" s="204"/>
      <c r="BS165" s="204"/>
      <c r="BT165" s="204"/>
      <c r="BU165" s="204"/>
      <c r="BV165" s="204"/>
      <c r="BW165" s="204"/>
      <c r="BX165" s="204"/>
      <c r="BY165" s="204"/>
      <c r="BZ165" s="204"/>
      <c r="CA165" s="204"/>
      <c r="CB165" s="207"/>
      <c r="CM165" s="209"/>
    </row>
    <row r="166" ht="15.75" customHeight="1">
      <c r="A166" s="185" t="s">
        <v>1016</v>
      </c>
      <c r="B166" s="200" t="s">
        <v>1046</v>
      </c>
      <c r="C166" s="200" t="str">
        <f>'BX | Implementation &amp; Services'!A42</f>
        <v>BX Ongoing Success Packages: Guided</v>
      </c>
      <c r="D166" s="200" t="s">
        <v>59</v>
      </c>
      <c r="E166" s="203" t="s">
        <v>1050</v>
      </c>
      <c r="F166" s="196" t="str">
        <f t="shared" si="13"/>
        <v>BSG-03 - Advanced</v>
      </c>
      <c r="G166" s="196" t="str">
        <f>'BX | Implementation &amp; Services'!E42</f>
        <v>Support on BX Licenses which includes:
Standard Product Support &amp; Customer Success
Quarterly consulting retainer for up to 15 hours per quarter that could be used for:
Minor question or dashboard edits
Data interpretation and consulting
Thought partnership</v>
      </c>
      <c r="H166" s="235"/>
      <c r="I166" s="191"/>
      <c r="J166" s="191" t="str">
        <f>'BX | Implementation &amp; Services'!E43</f>
        <v>$18,000/year</v>
      </c>
      <c r="K166" s="198"/>
      <c r="L166" s="198"/>
      <c r="M166" s="198"/>
      <c r="N166" s="198"/>
      <c r="O166" s="198"/>
      <c r="P166" s="198"/>
      <c r="Q166" s="198"/>
      <c r="S166" s="200"/>
      <c r="T166" s="203" t="s">
        <v>765</v>
      </c>
      <c r="U166" s="203" t="s">
        <v>765</v>
      </c>
      <c r="V166" s="203" t="s">
        <v>765</v>
      </c>
      <c r="W166" s="207"/>
      <c r="AC166" s="203" t="s">
        <v>108</v>
      </c>
      <c r="AD166" s="203" t="s">
        <v>108</v>
      </c>
      <c r="AE166" s="203" t="s">
        <v>108</v>
      </c>
      <c r="AH166" s="204"/>
      <c r="AI166" s="204"/>
      <c r="AJ166" s="204"/>
      <c r="AK166" s="204"/>
      <c r="AL166" s="204"/>
      <c r="AM166" s="204"/>
      <c r="AN166" s="204"/>
      <c r="AX166" s="204"/>
      <c r="AY166" s="204"/>
      <c r="AZ166" s="204"/>
      <c r="BA166" s="204"/>
      <c r="BB166" s="204"/>
      <c r="BC166" s="204"/>
      <c r="BD166" s="204"/>
      <c r="BE166" s="204"/>
      <c r="BF166" s="204"/>
      <c r="BG166" s="204"/>
      <c r="BH166" s="204"/>
      <c r="BI166" s="204"/>
      <c r="BJ166" s="204"/>
      <c r="BK166" s="204"/>
      <c r="BL166" s="204"/>
      <c r="BM166" s="204"/>
      <c r="BN166" s="204"/>
      <c r="BO166" s="204"/>
      <c r="BP166" s="204"/>
      <c r="BQ166" s="204"/>
      <c r="BR166" s="204"/>
      <c r="BS166" s="204"/>
      <c r="BT166" s="204"/>
      <c r="BU166" s="204"/>
      <c r="BV166" s="204"/>
      <c r="BW166" s="204"/>
      <c r="BX166" s="204"/>
      <c r="BY166" s="204"/>
      <c r="BZ166" s="204"/>
      <c r="CA166" s="204"/>
      <c r="CB166" s="207"/>
      <c r="CM166" s="209"/>
    </row>
    <row r="167" ht="15.75" customHeight="1">
      <c r="A167" s="185" t="s">
        <v>1016</v>
      </c>
      <c r="C167" s="200" t="str">
        <f>'BX | Implementation &amp; Services'!A45</f>
        <v>BX Ongoing Success Packages: Advanced</v>
      </c>
      <c r="D167" s="200" t="s">
        <v>56</v>
      </c>
      <c r="E167" s="203" t="s">
        <v>1051</v>
      </c>
      <c r="F167" s="196" t="str">
        <f t="shared" si="13"/>
        <v>BSA-01 - Standard</v>
      </c>
      <c r="G167" s="196" t="str">
        <f>'BX | Implementation &amp; Services'!C45</f>
        <v>Support on BX Licenses which includes:
Standard Product Support &amp; Customer Success
Quarterly consulting retainer for up to 10 hours per quarter that could be used for:
Minor question or dashboard edits
Data intepretation and consulting
Thought partnership
Technical Account Manager, to provide higher level of program-specific platform support and configuration updates, for up to 5 hours per week</v>
      </c>
      <c r="H167" s="235"/>
      <c r="I167" s="191"/>
      <c r="J167" s="191" t="str">
        <f>'BX | Implementation &amp; Services'!C46</f>
        <v>$62,000/year 
($50,000 for TAM, $12,000 for Consulting)</v>
      </c>
      <c r="K167" s="198"/>
      <c r="L167" s="198"/>
      <c r="M167" s="198"/>
      <c r="N167" s="198"/>
      <c r="O167" s="198"/>
      <c r="P167" s="198"/>
      <c r="Q167" s="198"/>
      <c r="S167" s="200"/>
      <c r="T167" s="203" t="s">
        <v>765</v>
      </c>
      <c r="U167" s="203" t="s">
        <v>765</v>
      </c>
      <c r="V167" s="203" t="s">
        <v>765</v>
      </c>
      <c r="W167" s="207"/>
      <c r="AC167" s="203" t="s">
        <v>108</v>
      </c>
      <c r="AD167" s="203" t="s">
        <v>108</v>
      </c>
      <c r="AE167" s="203" t="s">
        <v>108</v>
      </c>
      <c r="AH167" s="204"/>
      <c r="AI167" s="204"/>
      <c r="AJ167" s="204"/>
      <c r="AK167" s="204"/>
      <c r="AL167" s="204"/>
      <c r="AM167" s="204"/>
      <c r="AN167" s="204"/>
      <c r="AX167" s="204"/>
      <c r="AY167" s="204"/>
      <c r="AZ167" s="204"/>
      <c r="BA167" s="204"/>
      <c r="BB167" s="204"/>
      <c r="BC167" s="204"/>
      <c r="BD167" s="204"/>
      <c r="BE167" s="204"/>
      <c r="BF167" s="204"/>
      <c r="BG167" s="204"/>
      <c r="BH167" s="204"/>
      <c r="BI167" s="204"/>
      <c r="BJ167" s="204"/>
      <c r="BK167" s="204"/>
      <c r="BL167" s="204"/>
      <c r="BM167" s="204"/>
      <c r="BN167" s="204"/>
      <c r="BO167" s="204"/>
      <c r="BP167" s="204"/>
      <c r="BQ167" s="204"/>
      <c r="BR167" s="204"/>
      <c r="BS167" s="204"/>
      <c r="BT167" s="204"/>
      <c r="BU167" s="204"/>
      <c r="BV167" s="204"/>
      <c r="BW167" s="204"/>
      <c r="BX167" s="204"/>
      <c r="BY167" s="204"/>
      <c r="BZ167" s="204"/>
      <c r="CA167" s="204"/>
      <c r="CB167" s="207"/>
      <c r="CM167" s="209"/>
    </row>
    <row r="168" ht="15.75" customHeight="1">
      <c r="A168" s="200" t="s">
        <v>1052</v>
      </c>
      <c r="B168" s="200" t="s">
        <v>1053</v>
      </c>
      <c r="C168" s="200" t="s">
        <v>1054</v>
      </c>
      <c r="D168" s="200" t="s">
        <v>1055</v>
      </c>
      <c r="F168" s="234"/>
      <c r="G168" s="234" t="s">
        <v>1056</v>
      </c>
      <c r="H168" s="243" t="s">
        <v>1057</v>
      </c>
      <c r="I168" s="191"/>
      <c r="J168" s="191" t="s">
        <v>292</v>
      </c>
      <c r="K168" s="198"/>
      <c r="L168" s="198"/>
      <c r="M168" s="198"/>
      <c r="N168" s="198"/>
      <c r="O168" s="198"/>
      <c r="P168" s="198"/>
      <c r="Q168" s="198"/>
      <c r="S168" s="200"/>
      <c r="T168" s="203" t="s">
        <v>765</v>
      </c>
      <c r="U168" s="203" t="s">
        <v>783</v>
      </c>
      <c r="V168" s="203" t="s">
        <v>783</v>
      </c>
      <c r="W168" s="207"/>
      <c r="AC168" s="203">
        <v>5.0</v>
      </c>
      <c r="AD168" s="203">
        <v>3.0</v>
      </c>
      <c r="AE168" s="203" t="s">
        <v>1053</v>
      </c>
      <c r="AF168" s="203" t="s">
        <v>768</v>
      </c>
      <c r="AH168" s="204"/>
      <c r="AI168" s="204"/>
      <c r="AJ168" s="204"/>
      <c r="AK168" s="204"/>
      <c r="AL168" s="204"/>
      <c r="AM168" s="204"/>
      <c r="AN168" s="204"/>
      <c r="AR168" s="203" t="s">
        <v>1058</v>
      </c>
      <c r="AS168" s="203" t="s">
        <v>1059</v>
      </c>
      <c r="AT168" s="203" t="s">
        <v>1060</v>
      </c>
      <c r="AX168" s="204"/>
      <c r="AY168" s="204"/>
      <c r="AZ168" s="204"/>
      <c r="BA168" s="204"/>
      <c r="BB168" s="204"/>
      <c r="BC168" s="204"/>
      <c r="BD168" s="204"/>
      <c r="BE168" s="204"/>
      <c r="BF168" s="204"/>
      <c r="BG168" s="204"/>
      <c r="BH168" s="204"/>
      <c r="BI168" s="204"/>
      <c r="BJ168" s="204"/>
      <c r="BK168" s="204"/>
      <c r="BL168" s="204"/>
      <c r="BM168" s="204"/>
      <c r="BN168" s="204"/>
      <c r="BO168" s="204"/>
      <c r="BP168" s="204"/>
      <c r="BQ168" s="204"/>
      <c r="BR168" s="204"/>
      <c r="BS168" s="204"/>
      <c r="BT168" s="204"/>
      <c r="BU168" s="204"/>
      <c r="BV168" s="204"/>
      <c r="BW168" s="204"/>
      <c r="BX168" s="204"/>
      <c r="BY168" s="204"/>
      <c r="BZ168" s="204"/>
      <c r="CA168" s="204"/>
      <c r="CB168" s="207"/>
      <c r="CM168" s="209"/>
    </row>
    <row r="169" ht="15.75" customHeight="1">
      <c r="A169" s="200" t="s">
        <v>1052</v>
      </c>
      <c r="B169" s="200" t="s">
        <v>1053</v>
      </c>
      <c r="C169" s="200" t="s">
        <v>1061</v>
      </c>
      <c r="D169" s="200" t="s">
        <v>1062</v>
      </c>
      <c r="F169" s="234"/>
      <c r="G169" s="234" t="s">
        <v>1063</v>
      </c>
      <c r="H169" s="243" t="s">
        <v>1057</v>
      </c>
      <c r="I169" s="191"/>
      <c r="J169" s="191" t="s">
        <v>292</v>
      </c>
      <c r="K169" s="198"/>
      <c r="L169" s="198"/>
      <c r="M169" s="198"/>
      <c r="N169" s="198"/>
      <c r="O169" s="198"/>
      <c r="P169" s="198"/>
      <c r="Q169" s="198"/>
      <c r="S169" s="200"/>
      <c r="T169" s="203" t="s">
        <v>765</v>
      </c>
      <c r="U169" s="203" t="s">
        <v>783</v>
      </c>
      <c r="V169" s="203" t="s">
        <v>783</v>
      </c>
      <c r="W169" s="207"/>
      <c r="AC169" s="203">
        <v>5.0</v>
      </c>
      <c r="AD169" s="203">
        <v>3.0</v>
      </c>
      <c r="AE169" s="203" t="s">
        <v>1053</v>
      </c>
      <c r="AF169" s="203" t="s">
        <v>768</v>
      </c>
      <c r="AH169" s="204"/>
      <c r="AI169" s="204"/>
      <c r="AJ169" s="204"/>
      <c r="AK169" s="204"/>
      <c r="AL169" s="204"/>
      <c r="AM169" s="204"/>
      <c r="AN169" s="204"/>
      <c r="AR169" s="203" t="s">
        <v>1058</v>
      </c>
      <c r="AS169" s="203" t="s">
        <v>1059</v>
      </c>
      <c r="AT169" s="203" t="s">
        <v>1060</v>
      </c>
      <c r="AX169" s="204"/>
      <c r="AY169" s="204"/>
      <c r="AZ169" s="204"/>
      <c r="BA169" s="204"/>
      <c r="BB169" s="204"/>
      <c r="BC169" s="204"/>
      <c r="BD169" s="204"/>
      <c r="BE169" s="204"/>
      <c r="BF169" s="204"/>
      <c r="BG169" s="204"/>
      <c r="BH169" s="204"/>
      <c r="BI169" s="204"/>
      <c r="BJ169" s="204"/>
      <c r="BK169" s="204"/>
      <c r="BL169" s="204"/>
      <c r="BM169" s="204"/>
      <c r="BN169" s="204"/>
      <c r="BO169" s="204"/>
      <c r="BP169" s="204"/>
      <c r="BQ169" s="204"/>
      <c r="BR169" s="204"/>
      <c r="BS169" s="204"/>
      <c r="BT169" s="204"/>
      <c r="BU169" s="204"/>
      <c r="BV169" s="204"/>
      <c r="BW169" s="204"/>
      <c r="BX169" s="204"/>
      <c r="BY169" s="204"/>
      <c r="BZ169" s="204"/>
      <c r="CA169" s="204"/>
      <c r="CB169" s="207"/>
      <c r="CM169" s="209"/>
    </row>
    <row r="170" ht="15.75" customHeight="1">
      <c r="A170" s="200" t="s">
        <v>1052</v>
      </c>
      <c r="B170" s="200" t="s">
        <v>1053</v>
      </c>
      <c r="C170" s="200" t="s">
        <v>1064</v>
      </c>
      <c r="D170" s="200" t="s">
        <v>1065</v>
      </c>
      <c r="F170" s="234"/>
      <c r="G170" s="234" t="s">
        <v>1063</v>
      </c>
      <c r="H170" s="243" t="s">
        <v>1057</v>
      </c>
      <c r="I170" s="191"/>
      <c r="J170" s="191" t="s">
        <v>292</v>
      </c>
      <c r="K170" s="198"/>
      <c r="L170" s="198"/>
      <c r="M170" s="198"/>
      <c r="N170" s="198"/>
      <c r="O170" s="198"/>
      <c r="P170" s="198"/>
      <c r="Q170" s="198"/>
      <c r="S170" s="200"/>
      <c r="T170" s="203" t="s">
        <v>765</v>
      </c>
      <c r="U170" s="203" t="s">
        <v>783</v>
      </c>
      <c r="V170" s="203" t="s">
        <v>783</v>
      </c>
      <c r="W170" s="207"/>
      <c r="AC170" s="203">
        <v>5.0</v>
      </c>
      <c r="AD170" s="203">
        <v>3.0</v>
      </c>
      <c r="AE170" s="203" t="s">
        <v>1053</v>
      </c>
      <c r="AF170" s="203" t="s">
        <v>768</v>
      </c>
      <c r="AH170" s="204"/>
      <c r="AI170" s="204"/>
      <c r="AJ170" s="204"/>
      <c r="AK170" s="204"/>
      <c r="AL170" s="204"/>
      <c r="AM170" s="204"/>
      <c r="AN170" s="204"/>
      <c r="AR170" s="203" t="s">
        <v>1058</v>
      </c>
      <c r="AS170" s="203" t="s">
        <v>1059</v>
      </c>
      <c r="AT170" s="203" t="s">
        <v>1060</v>
      </c>
      <c r="AX170" s="204"/>
      <c r="AY170" s="204"/>
      <c r="AZ170" s="204"/>
      <c r="BA170" s="204"/>
      <c r="BB170" s="204"/>
      <c r="BC170" s="204"/>
      <c r="BD170" s="204"/>
      <c r="BE170" s="204"/>
      <c r="BF170" s="204"/>
      <c r="BG170" s="204"/>
      <c r="BH170" s="204"/>
      <c r="BI170" s="204"/>
      <c r="BJ170" s="204"/>
      <c r="BK170" s="204"/>
      <c r="BL170" s="204"/>
      <c r="BM170" s="204"/>
      <c r="BN170" s="204"/>
      <c r="BO170" s="204"/>
      <c r="BP170" s="204"/>
      <c r="BQ170" s="204"/>
      <c r="BR170" s="204"/>
      <c r="BS170" s="204"/>
      <c r="BT170" s="204"/>
      <c r="BU170" s="204"/>
      <c r="BV170" s="204"/>
      <c r="BW170" s="204"/>
      <c r="BX170" s="204"/>
      <c r="BY170" s="204"/>
      <c r="BZ170" s="204"/>
      <c r="CA170" s="204"/>
      <c r="CB170" s="207"/>
      <c r="CM170" s="209"/>
    </row>
    <row r="171" ht="15.75" customHeight="1">
      <c r="A171" s="200" t="s">
        <v>1052</v>
      </c>
      <c r="B171" s="200" t="s">
        <v>1053</v>
      </c>
      <c r="C171" s="200" t="s">
        <v>1066</v>
      </c>
      <c r="D171" s="200" t="s">
        <v>1067</v>
      </c>
      <c r="F171" s="234"/>
      <c r="G171" s="234" t="s">
        <v>1063</v>
      </c>
      <c r="H171" s="243" t="s">
        <v>1057</v>
      </c>
      <c r="I171" s="191"/>
      <c r="J171" s="191" t="s">
        <v>292</v>
      </c>
      <c r="K171" s="198"/>
      <c r="L171" s="198"/>
      <c r="M171" s="198"/>
      <c r="N171" s="198"/>
      <c r="O171" s="198"/>
      <c r="P171" s="198"/>
      <c r="Q171" s="198"/>
      <c r="S171" s="200"/>
      <c r="T171" s="203" t="s">
        <v>765</v>
      </c>
      <c r="U171" s="203" t="s">
        <v>783</v>
      </c>
      <c r="V171" s="203" t="s">
        <v>783</v>
      </c>
      <c r="W171" s="207"/>
      <c r="AC171" s="203">
        <v>5.0</v>
      </c>
      <c r="AD171" s="203">
        <v>3.0</v>
      </c>
      <c r="AE171" s="203" t="s">
        <v>1053</v>
      </c>
      <c r="AF171" s="203" t="s">
        <v>768</v>
      </c>
      <c r="AH171" s="204"/>
      <c r="AI171" s="204"/>
      <c r="AJ171" s="204"/>
      <c r="AK171" s="204"/>
      <c r="AL171" s="204"/>
      <c r="AM171" s="204"/>
      <c r="AN171" s="204"/>
      <c r="AR171" s="203" t="s">
        <v>1058</v>
      </c>
      <c r="AS171" s="203" t="s">
        <v>1059</v>
      </c>
      <c r="AT171" s="203" t="s">
        <v>1060</v>
      </c>
      <c r="AX171" s="204"/>
      <c r="AY171" s="204"/>
      <c r="AZ171" s="204"/>
      <c r="BA171" s="204"/>
      <c r="BB171" s="204"/>
      <c r="BC171" s="204"/>
      <c r="BD171" s="204"/>
      <c r="BE171" s="204"/>
      <c r="BF171" s="204"/>
      <c r="BG171" s="204"/>
      <c r="BH171" s="204"/>
      <c r="BI171" s="204"/>
      <c r="BJ171" s="204"/>
      <c r="BK171" s="204"/>
      <c r="BL171" s="204"/>
      <c r="BM171" s="204"/>
      <c r="BN171" s="204"/>
      <c r="BO171" s="204"/>
      <c r="BP171" s="204"/>
      <c r="BQ171" s="204"/>
      <c r="BR171" s="204"/>
      <c r="BS171" s="204"/>
      <c r="BT171" s="204"/>
      <c r="BU171" s="204"/>
      <c r="BV171" s="204"/>
      <c r="BW171" s="204"/>
      <c r="BX171" s="204"/>
      <c r="BY171" s="204"/>
      <c r="BZ171" s="204"/>
      <c r="CA171" s="204"/>
      <c r="CB171" s="207"/>
      <c r="CM171" s="209"/>
    </row>
    <row r="172" ht="15.75" customHeight="1">
      <c r="A172" s="200" t="s">
        <v>1052</v>
      </c>
      <c r="B172" s="200" t="s">
        <v>1053</v>
      </c>
      <c r="C172" s="200" t="s">
        <v>1068</v>
      </c>
      <c r="D172" s="200" t="s">
        <v>1069</v>
      </c>
      <c r="F172" s="234"/>
      <c r="G172" s="234" t="s">
        <v>1063</v>
      </c>
      <c r="H172" s="243" t="s">
        <v>1057</v>
      </c>
      <c r="I172" s="191"/>
      <c r="J172" s="191" t="s">
        <v>292</v>
      </c>
      <c r="K172" s="198"/>
      <c r="L172" s="198"/>
      <c r="M172" s="198"/>
      <c r="N172" s="198"/>
      <c r="O172" s="198"/>
      <c r="P172" s="198"/>
      <c r="Q172" s="198"/>
      <c r="S172" s="200"/>
      <c r="T172" s="203" t="s">
        <v>765</v>
      </c>
      <c r="U172" s="203" t="s">
        <v>783</v>
      </c>
      <c r="V172" s="203" t="s">
        <v>783</v>
      </c>
      <c r="W172" s="207"/>
      <c r="AC172" s="203">
        <v>5.0</v>
      </c>
      <c r="AD172" s="203">
        <v>3.0</v>
      </c>
      <c r="AE172" s="203" t="s">
        <v>1053</v>
      </c>
      <c r="AF172" s="203" t="s">
        <v>768</v>
      </c>
      <c r="AH172" s="204"/>
      <c r="AI172" s="204"/>
      <c r="AJ172" s="204"/>
      <c r="AK172" s="204"/>
      <c r="AL172" s="204"/>
      <c r="AM172" s="204"/>
      <c r="AN172" s="204"/>
      <c r="AR172" s="203" t="s">
        <v>1058</v>
      </c>
      <c r="AS172" s="203" t="s">
        <v>1059</v>
      </c>
      <c r="AT172" s="203" t="s">
        <v>1060</v>
      </c>
      <c r="AX172" s="204"/>
      <c r="AY172" s="204"/>
      <c r="AZ172" s="204"/>
      <c r="BA172" s="204"/>
      <c r="BB172" s="204"/>
      <c r="BC172" s="204"/>
      <c r="BD172" s="204"/>
      <c r="BE172" s="204"/>
      <c r="BF172" s="204"/>
      <c r="BG172" s="204"/>
      <c r="BH172" s="204"/>
      <c r="BI172" s="204"/>
      <c r="BJ172" s="204"/>
      <c r="BK172" s="204"/>
      <c r="BL172" s="204"/>
      <c r="BM172" s="204"/>
      <c r="BN172" s="204"/>
      <c r="BO172" s="204"/>
      <c r="BP172" s="204"/>
      <c r="BQ172" s="204"/>
      <c r="BR172" s="204"/>
      <c r="BS172" s="204"/>
      <c r="BT172" s="204"/>
      <c r="BU172" s="204"/>
      <c r="BV172" s="204"/>
      <c r="BW172" s="204"/>
      <c r="BX172" s="204"/>
      <c r="BY172" s="204"/>
      <c r="BZ172" s="204"/>
      <c r="CA172" s="204"/>
      <c r="CB172" s="207"/>
      <c r="CM172" s="209"/>
    </row>
    <row r="173" ht="15.75" customHeight="1">
      <c r="A173" s="200" t="s">
        <v>1052</v>
      </c>
      <c r="B173" s="200" t="s">
        <v>1053</v>
      </c>
      <c r="C173" s="200" t="s">
        <v>1070</v>
      </c>
      <c r="D173" s="200" t="s">
        <v>1071</v>
      </c>
      <c r="F173" s="234"/>
      <c r="G173" s="234" t="s">
        <v>1063</v>
      </c>
      <c r="H173" s="243" t="s">
        <v>1057</v>
      </c>
      <c r="I173" s="191"/>
      <c r="J173" s="191" t="s">
        <v>292</v>
      </c>
      <c r="K173" s="198"/>
      <c r="L173" s="198"/>
      <c r="M173" s="198"/>
      <c r="N173" s="198"/>
      <c r="O173" s="198"/>
      <c r="P173" s="198"/>
      <c r="Q173" s="198"/>
      <c r="S173" s="200"/>
      <c r="T173" s="203" t="s">
        <v>765</v>
      </c>
      <c r="U173" s="203" t="s">
        <v>783</v>
      </c>
      <c r="V173" s="203" t="s">
        <v>783</v>
      </c>
      <c r="W173" s="207"/>
      <c r="AC173" s="203">
        <v>5.0</v>
      </c>
      <c r="AD173" s="203">
        <v>3.0</v>
      </c>
      <c r="AE173" s="203" t="s">
        <v>1053</v>
      </c>
      <c r="AF173" s="203" t="s">
        <v>768</v>
      </c>
      <c r="AH173" s="204"/>
      <c r="AI173" s="204"/>
      <c r="AJ173" s="204"/>
      <c r="AK173" s="204"/>
      <c r="AL173" s="204"/>
      <c r="AM173" s="204"/>
      <c r="AN173" s="204"/>
      <c r="AR173" s="203" t="s">
        <v>1058</v>
      </c>
      <c r="AS173" s="203" t="s">
        <v>1059</v>
      </c>
      <c r="AT173" s="203" t="s">
        <v>1060</v>
      </c>
      <c r="AX173" s="204"/>
      <c r="AY173" s="204"/>
      <c r="AZ173" s="204"/>
      <c r="BA173" s="204"/>
      <c r="BB173" s="204"/>
      <c r="BC173" s="204"/>
      <c r="BD173" s="204"/>
      <c r="BE173" s="204"/>
      <c r="BF173" s="204"/>
      <c r="BG173" s="204"/>
      <c r="BH173" s="204"/>
      <c r="BI173" s="204"/>
      <c r="BJ173" s="204"/>
      <c r="BK173" s="204"/>
      <c r="BL173" s="204"/>
      <c r="BM173" s="204"/>
      <c r="BN173" s="204"/>
      <c r="BO173" s="204"/>
      <c r="BP173" s="204"/>
      <c r="BQ173" s="204"/>
      <c r="BR173" s="204"/>
      <c r="BS173" s="204"/>
      <c r="BT173" s="204"/>
      <c r="BU173" s="204"/>
      <c r="BV173" s="204"/>
      <c r="BW173" s="204"/>
      <c r="BX173" s="204"/>
      <c r="BY173" s="204"/>
      <c r="BZ173" s="204"/>
      <c r="CA173" s="204"/>
      <c r="CB173" s="207"/>
      <c r="CM173" s="209"/>
    </row>
    <row r="174" ht="15.75" customHeight="1">
      <c r="A174" s="200" t="s">
        <v>1052</v>
      </c>
      <c r="B174" s="200" t="s">
        <v>1053</v>
      </c>
      <c r="C174" s="200" t="s">
        <v>1072</v>
      </c>
      <c r="D174" s="200" t="s">
        <v>1073</v>
      </c>
      <c r="F174" s="234"/>
      <c r="G174" s="234" t="s">
        <v>1063</v>
      </c>
      <c r="H174" s="243" t="s">
        <v>1057</v>
      </c>
      <c r="I174" s="191"/>
      <c r="J174" s="191" t="s">
        <v>292</v>
      </c>
      <c r="K174" s="198"/>
      <c r="L174" s="198"/>
      <c r="M174" s="198"/>
      <c r="N174" s="198"/>
      <c r="O174" s="198"/>
      <c r="P174" s="198"/>
      <c r="Q174" s="198"/>
      <c r="S174" s="200"/>
      <c r="T174" s="203" t="s">
        <v>765</v>
      </c>
      <c r="U174" s="203" t="s">
        <v>783</v>
      </c>
      <c r="V174" s="203" t="s">
        <v>783</v>
      </c>
      <c r="W174" s="207"/>
      <c r="AC174" s="203">
        <v>5.0</v>
      </c>
      <c r="AD174" s="203">
        <v>3.0</v>
      </c>
      <c r="AE174" s="203" t="s">
        <v>1053</v>
      </c>
      <c r="AF174" s="203" t="s">
        <v>768</v>
      </c>
      <c r="AH174" s="204"/>
      <c r="AI174" s="204"/>
      <c r="AJ174" s="204"/>
      <c r="AK174" s="204"/>
      <c r="AL174" s="204"/>
      <c r="AM174" s="204"/>
      <c r="AN174" s="204"/>
      <c r="AR174" s="203" t="s">
        <v>1058</v>
      </c>
      <c r="AS174" s="203" t="s">
        <v>1059</v>
      </c>
      <c r="AT174" s="203" t="s">
        <v>1060</v>
      </c>
      <c r="AX174" s="204"/>
      <c r="AY174" s="204"/>
      <c r="AZ174" s="204"/>
      <c r="BA174" s="204"/>
      <c r="BB174" s="204"/>
      <c r="BC174" s="204"/>
      <c r="BD174" s="204"/>
      <c r="BE174" s="204"/>
      <c r="BF174" s="204"/>
      <c r="BG174" s="204"/>
      <c r="BH174" s="204"/>
      <c r="BI174" s="204"/>
      <c r="BJ174" s="204"/>
      <c r="BK174" s="204"/>
      <c r="BL174" s="204"/>
      <c r="BM174" s="204"/>
      <c r="BN174" s="204"/>
      <c r="BO174" s="204"/>
      <c r="BP174" s="204"/>
      <c r="BQ174" s="204"/>
      <c r="BR174" s="204"/>
      <c r="BS174" s="204"/>
      <c r="BT174" s="204"/>
      <c r="BU174" s="204"/>
      <c r="BV174" s="204"/>
      <c r="BW174" s="204"/>
      <c r="BX174" s="204"/>
      <c r="BY174" s="204"/>
      <c r="BZ174" s="204"/>
      <c r="CA174" s="204"/>
      <c r="CB174" s="207"/>
      <c r="CM174" s="209"/>
    </row>
    <row r="175" ht="15.75" customHeight="1">
      <c r="A175" s="200"/>
      <c r="B175" s="200"/>
      <c r="C175" s="200"/>
      <c r="D175" s="200"/>
      <c r="F175" s="234"/>
      <c r="G175" s="234"/>
      <c r="H175" s="235"/>
      <c r="I175" s="191"/>
      <c r="J175" s="191"/>
      <c r="K175" s="198"/>
      <c r="L175" s="198"/>
      <c r="M175" s="198"/>
      <c r="N175" s="198"/>
      <c r="O175" s="198"/>
      <c r="P175" s="198"/>
      <c r="Q175" s="198"/>
      <c r="S175" s="200"/>
      <c r="W175" s="207"/>
      <c r="AH175" s="204"/>
      <c r="AI175" s="204"/>
      <c r="AJ175" s="204"/>
      <c r="AK175" s="204"/>
      <c r="AL175" s="204"/>
      <c r="AM175" s="204"/>
      <c r="AN175" s="204"/>
      <c r="AX175" s="204"/>
      <c r="AY175" s="204"/>
      <c r="AZ175" s="204"/>
      <c r="BA175" s="204"/>
      <c r="BB175" s="204"/>
      <c r="BC175" s="204"/>
      <c r="BD175" s="204"/>
      <c r="BE175" s="204"/>
      <c r="BF175" s="204"/>
      <c r="BG175" s="204"/>
      <c r="BH175" s="204"/>
      <c r="BI175" s="204"/>
      <c r="BJ175" s="204"/>
      <c r="BK175" s="204"/>
      <c r="BL175" s="204"/>
      <c r="BM175" s="204"/>
      <c r="BN175" s="204"/>
      <c r="BO175" s="204"/>
      <c r="BP175" s="204"/>
      <c r="BQ175" s="204"/>
      <c r="BR175" s="204"/>
      <c r="BS175" s="204"/>
      <c r="BT175" s="204"/>
      <c r="BU175" s="204"/>
      <c r="BV175" s="204"/>
      <c r="BW175" s="204"/>
      <c r="BX175" s="204"/>
      <c r="BY175" s="204"/>
      <c r="BZ175" s="204"/>
      <c r="CA175" s="204"/>
      <c r="CB175" s="207"/>
      <c r="CM175" s="209"/>
    </row>
    <row r="176" ht="15.75" customHeight="1">
      <c r="A176" s="200"/>
      <c r="B176" s="200"/>
      <c r="C176" s="200"/>
      <c r="D176" s="200"/>
      <c r="F176" s="234"/>
      <c r="G176" s="234"/>
      <c r="H176" s="235"/>
      <c r="I176" s="191"/>
      <c r="J176" s="191"/>
      <c r="K176" s="198"/>
      <c r="L176" s="198"/>
      <c r="M176" s="198"/>
      <c r="N176" s="198"/>
      <c r="O176" s="198"/>
      <c r="P176" s="198"/>
      <c r="Q176" s="198"/>
      <c r="S176" s="200"/>
      <c r="W176" s="207"/>
      <c r="AH176" s="204"/>
      <c r="AI176" s="204"/>
      <c r="AJ176" s="204"/>
      <c r="AK176" s="204"/>
      <c r="AL176" s="204"/>
      <c r="AM176" s="204"/>
      <c r="AN176" s="204"/>
      <c r="AX176" s="204"/>
      <c r="AY176" s="204"/>
      <c r="AZ176" s="204"/>
      <c r="BA176" s="204"/>
      <c r="BB176" s="204"/>
      <c r="BC176" s="204"/>
      <c r="BD176" s="204"/>
      <c r="BE176" s="204"/>
      <c r="BF176" s="204"/>
      <c r="BG176" s="204"/>
      <c r="BH176" s="204"/>
      <c r="BI176" s="204"/>
      <c r="BJ176" s="204"/>
      <c r="BK176" s="204"/>
      <c r="BL176" s="204"/>
      <c r="BM176" s="204"/>
      <c r="BN176" s="204"/>
      <c r="BO176" s="204"/>
      <c r="BP176" s="204"/>
      <c r="BQ176" s="204"/>
      <c r="BR176" s="204"/>
      <c r="BS176" s="204"/>
      <c r="BT176" s="204"/>
      <c r="BU176" s="204"/>
      <c r="BV176" s="204"/>
      <c r="BW176" s="204"/>
      <c r="BX176" s="204"/>
      <c r="BY176" s="204"/>
      <c r="BZ176" s="204"/>
      <c r="CA176" s="204"/>
      <c r="CB176" s="207"/>
      <c r="CM176" s="209"/>
    </row>
    <row r="177" ht="15.75" customHeight="1">
      <c r="A177" s="200"/>
      <c r="B177" s="200"/>
      <c r="C177" s="200"/>
      <c r="D177" s="200"/>
      <c r="F177" s="234"/>
      <c r="G177" s="234"/>
      <c r="H177" s="235"/>
      <c r="I177" s="191"/>
      <c r="J177" s="191"/>
      <c r="K177" s="198"/>
      <c r="L177" s="198"/>
      <c r="M177" s="198"/>
      <c r="N177" s="198"/>
      <c r="O177" s="198"/>
      <c r="P177" s="198"/>
      <c r="Q177" s="198"/>
      <c r="S177" s="200"/>
      <c r="W177" s="207"/>
      <c r="AH177" s="204"/>
      <c r="AI177" s="204"/>
      <c r="AJ177" s="204"/>
      <c r="AK177" s="204"/>
      <c r="AL177" s="204"/>
      <c r="AM177" s="204"/>
      <c r="AN177" s="204"/>
      <c r="AX177" s="204"/>
      <c r="AY177" s="204"/>
      <c r="AZ177" s="204"/>
      <c r="BA177" s="204"/>
      <c r="BB177" s="204"/>
      <c r="BC177" s="204"/>
      <c r="BD177" s="204"/>
      <c r="BE177" s="204"/>
      <c r="BF177" s="204"/>
      <c r="BG177" s="204"/>
      <c r="BH177" s="204"/>
      <c r="BI177" s="204"/>
      <c r="BJ177" s="204"/>
      <c r="BK177" s="204"/>
      <c r="BL177" s="204"/>
      <c r="BM177" s="204"/>
      <c r="BN177" s="204"/>
      <c r="BO177" s="204"/>
      <c r="BP177" s="204"/>
      <c r="BQ177" s="204"/>
      <c r="BR177" s="204"/>
      <c r="BS177" s="204"/>
      <c r="BT177" s="204"/>
      <c r="BU177" s="204"/>
      <c r="BV177" s="204"/>
      <c r="BW177" s="204"/>
      <c r="BX177" s="204"/>
      <c r="BY177" s="204"/>
      <c r="BZ177" s="204"/>
      <c r="CA177" s="204"/>
      <c r="CB177" s="207"/>
      <c r="CM177" s="209"/>
    </row>
    <row r="178" ht="15.75" customHeight="1">
      <c r="A178" s="200"/>
      <c r="B178" s="200"/>
      <c r="C178" s="200"/>
      <c r="D178" s="200"/>
      <c r="F178" s="234"/>
      <c r="G178" s="234"/>
      <c r="H178" s="235"/>
      <c r="I178" s="191"/>
      <c r="J178" s="191"/>
      <c r="K178" s="198"/>
      <c r="L178" s="198"/>
      <c r="M178" s="198"/>
      <c r="N178" s="198"/>
      <c r="O178" s="198"/>
      <c r="P178" s="198"/>
      <c r="Q178" s="198"/>
      <c r="S178" s="200"/>
      <c r="W178" s="207"/>
      <c r="AH178" s="204"/>
      <c r="AI178" s="204"/>
      <c r="AJ178" s="204"/>
      <c r="AK178" s="204"/>
      <c r="AL178" s="204"/>
      <c r="AM178" s="204"/>
      <c r="AN178" s="204"/>
      <c r="AX178" s="204"/>
      <c r="AY178" s="204"/>
      <c r="AZ178" s="204"/>
      <c r="BA178" s="204"/>
      <c r="BB178" s="204"/>
      <c r="BC178" s="204"/>
      <c r="BD178" s="204"/>
      <c r="BE178" s="204"/>
      <c r="BF178" s="204"/>
      <c r="BG178" s="204"/>
      <c r="BH178" s="204"/>
      <c r="BI178" s="204"/>
      <c r="BJ178" s="204"/>
      <c r="BK178" s="204"/>
      <c r="BL178" s="204"/>
      <c r="BM178" s="204"/>
      <c r="BN178" s="204"/>
      <c r="BO178" s="204"/>
      <c r="BP178" s="204"/>
      <c r="BQ178" s="204"/>
      <c r="BR178" s="204"/>
      <c r="BS178" s="204"/>
      <c r="BT178" s="204"/>
      <c r="BU178" s="204"/>
      <c r="BV178" s="204"/>
      <c r="BW178" s="204"/>
      <c r="BX178" s="204"/>
      <c r="BY178" s="204"/>
      <c r="BZ178" s="204"/>
      <c r="CA178" s="204"/>
      <c r="CB178" s="207"/>
      <c r="CM178" s="209"/>
    </row>
    <row r="179" ht="15.75" customHeight="1">
      <c r="A179" s="200"/>
      <c r="B179" s="200"/>
      <c r="C179" s="200"/>
      <c r="D179" s="200"/>
      <c r="F179" s="234"/>
      <c r="G179" s="234"/>
      <c r="H179" s="235"/>
      <c r="I179" s="191"/>
      <c r="J179" s="191"/>
      <c r="K179" s="198"/>
      <c r="L179" s="198"/>
      <c r="M179" s="198"/>
      <c r="N179" s="198"/>
      <c r="O179" s="198"/>
      <c r="P179" s="198"/>
      <c r="Q179" s="198"/>
      <c r="S179" s="200"/>
      <c r="W179" s="207"/>
      <c r="AH179" s="204"/>
      <c r="AI179" s="204"/>
      <c r="AJ179" s="204"/>
      <c r="AK179" s="204"/>
      <c r="AL179" s="204"/>
      <c r="AM179" s="204"/>
      <c r="AN179" s="204"/>
      <c r="AX179" s="204"/>
      <c r="AY179" s="204"/>
      <c r="AZ179" s="204"/>
      <c r="BA179" s="204"/>
      <c r="BB179" s="204"/>
      <c r="BC179" s="204"/>
      <c r="BD179" s="204"/>
      <c r="BE179" s="204"/>
      <c r="BF179" s="204"/>
      <c r="BG179" s="204"/>
      <c r="BH179" s="204"/>
      <c r="BI179" s="204"/>
      <c r="BJ179" s="204"/>
      <c r="BK179" s="204"/>
      <c r="BL179" s="204"/>
      <c r="BM179" s="204"/>
      <c r="BN179" s="204"/>
      <c r="BO179" s="204"/>
      <c r="BP179" s="204"/>
      <c r="BQ179" s="204"/>
      <c r="BR179" s="204"/>
      <c r="BS179" s="204"/>
      <c r="BT179" s="204"/>
      <c r="BU179" s="204"/>
      <c r="BV179" s="204"/>
      <c r="BW179" s="204"/>
      <c r="BX179" s="204"/>
      <c r="BY179" s="204"/>
      <c r="BZ179" s="204"/>
      <c r="CA179" s="204"/>
      <c r="CB179" s="207"/>
      <c r="CM179" s="209"/>
    </row>
    <row r="180" ht="15.75" customHeight="1">
      <c r="A180" s="200"/>
      <c r="B180" s="200"/>
      <c r="C180" s="200"/>
      <c r="D180" s="200"/>
      <c r="F180" s="234"/>
      <c r="G180" s="234"/>
      <c r="H180" s="235"/>
      <c r="I180" s="191"/>
      <c r="J180" s="191"/>
      <c r="K180" s="198"/>
      <c r="L180" s="198"/>
      <c r="M180" s="198"/>
      <c r="N180" s="198"/>
      <c r="O180" s="198"/>
      <c r="P180" s="198"/>
      <c r="Q180" s="198"/>
      <c r="S180" s="200"/>
      <c r="W180" s="207"/>
      <c r="AH180" s="204"/>
      <c r="AI180" s="204"/>
      <c r="AJ180" s="204"/>
      <c r="AK180" s="204"/>
      <c r="AL180" s="204"/>
      <c r="AM180" s="204"/>
      <c r="AN180" s="204"/>
      <c r="AX180" s="204"/>
      <c r="AY180" s="204"/>
      <c r="AZ180" s="204"/>
      <c r="BA180" s="204"/>
      <c r="BB180" s="204"/>
      <c r="BC180" s="204"/>
      <c r="BD180" s="204"/>
      <c r="BE180" s="204"/>
      <c r="BF180" s="204"/>
      <c r="BG180" s="204"/>
      <c r="BH180" s="204"/>
      <c r="BI180" s="204"/>
      <c r="BJ180" s="204"/>
      <c r="BK180" s="204"/>
      <c r="BL180" s="204"/>
      <c r="BM180" s="204"/>
      <c r="BN180" s="204"/>
      <c r="BO180" s="204"/>
      <c r="BP180" s="204"/>
      <c r="BQ180" s="204"/>
      <c r="BR180" s="204"/>
      <c r="BS180" s="204"/>
      <c r="BT180" s="204"/>
      <c r="BU180" s="204"/>
      <c r="BV180" s="204"/>
      <c r="BW180" s="204"/>
      <c r="BX180" s="204"/>
      <c r="BY180" s="204"/>
      <c r="BZ180" s="204"/>
      <c r="CA180" s="204"/>
      <c r="CB180" s="207"/>
      <c r="CM180" s="209"/>
    </row>
    <row r="181" ht="15.75" customHeight="1">
      <c r="A181" s="200"/>
      <c r="B181" s="200"/>
      <c r="C181" s="200"/>
      <c r="D181" s="200"/>
      <c r="F181" s="234"/>
      <c r="G181" s="234"/>
      <c r="H181" s="235"/>
      <c r="I181" s="191"/>
      <c r="J181" s="191"/>
      <c r="K181" s="198"/>
      <c r="L181" s="198"/>
      <c r="M181" s="198"/>
      <c r="N181" s="198"/>
      <c r="O181" s="198"/>
      <c r="P181" s="198"/>
      <c r="Q181" s="198"/>
      <c r="S181" s="200"/>
      <c r="W181" s="207"/>
      <c r="AH181" s="204"/>
      <c r="AI181" s="204"/>
      <c r="AJ181" s="204"/>
      <c r="AK181" s="204"/>
      <c r="AL181" s="204"/>
      <c r="AM181" s="204"/>
      <c r="AN181" s="204"/>
      <c r="AX181" s="204"/>
      <c r="AY181" s="204"/>
      <c r="AZ181" s="204"/>
      <c r="BA181" s="204"/>
      <c r="BB181" s="204"/>
      <c r="BC181" s="204"/>
      <c r="BD181" s="204"/>
      <c r="BE181" s="204"/>
      <c r="BF181" s="204"/>
      <c r="BG181" s="204"/>
      <c r="BH181" s="204"/>
      <c r="BI181" s="204"/>
      <c r="BJ181" s="204"/>
      <c r="BK181" s="204"/>
      <c r="BL181" s="204"/>
      <c r="BM181" s="204"/>
      <c r="BN181" s="204"/>
      <c r="BO181" s="204"/>
      <c r="BP181" s="204"/>
      <c r="BQ181" s="204"/>
      <c r="BR181" s="204"/>
      <c r="BS181" s="204"/>
      <c r="BT181" s="204"/>
      <c r="BU181" s="204"/>
      <c r="BV181" s="204"/>
      <c r="BW181" s="204"/>
      <c r="BX181" s="204"/>
      <c r="BY181" s="204"/>
      <c r="BZ181" s="204"/>
      <c r="CA181" s="204"/>
      <c r="CB181" s="207"/>
      <c r="CM181" s="209"/>
    </row>
    <row r="182" ht="15.75" customHeight="1">
      <c r="A182" s="200"/>
      <c r="B182" s="200"/>
      <c r="C182" s="200"/>
      <c r="D182" s="200"/>
      <c r="F182" s="234"/>
      <c r="G182" s="234"/>
      <c r="H182" s="235"/>
      <c r="I182" s="191"/>
      <c r="J182" s="191"/>
      <c r="K182" s="198"/>
      <c r="L182" s="198"/>
      <c r="M182" s="198"/>
      <c r="N182" s="198"/>
      <c r="O182" s="198"/>
      <c r="P182" s="198"/>
      <c r="Q182" s="198"/>
      <c r="S182" s="200"/>
      <c r="W182" s="207"/>
      <c r="AH182" s="204"/>
      <c r="AI182" s="204"/>
      <c r="AJ182" s="204"/>
      <c r="AK182" s="204"/>
      <c r="AL182" s="204"/>
      <c r="AM182" s="204"/>
      <c r="AN182" s="204"/>
      <c r="AX182" s="204"/>
      <c r="AY182" s="204"/>
      <c r="AZ182" s="204"/>
      <c r="BA182" s="204"/>
      <c r="BB182" s="204"/>
      <c r="BC182" s="204"/>
      <c r="BD182" s="204"/>
      <c r="BE182" s="204"/>
      <c r="BF182" s="204"/>
      <c r="BG182" s="204"/>
      <c r="BH182" s="204"/>
      <c r="BI182" s="204"/>
      <c r="BJ182" s="204"/>
      <c r="BK182" s="204"/>
      <c r="BL182" s="204"/>
      <c r="BM182" s="204"/>
      <c r="BN182" s="204"/>
      <c r="BO182" s="204"/>
      <c r="BP182" s="204"/>
      <c r="BQ182" s="204"/>
      <c r="BR182" s="204"/>
      <c r="BS182" s="204"/>
      <c r="BT182" s="204"/>
      <c r="BU182" s="204"/>
      <c r="BV182" s="204"/>
      <c r="BW182" s="204"/>
      <c r="BX182" s="204"/>
      <c r="BY182" s="204"/>
      <c r="BZ182" s="204"/>
      <c r="CA182" s="204"/>
      <c r="CB182" s="207"/>
      <c r="CM182" s="209"/>
    </row>
    <row r="183" ht="15.75" customHeight="1">
      <c r="A183" s="200"/>
      <c r="B183" s="200"/>
      <c r="C183" s="200"/>
      <c r="D183" s="200"/>
      <c r="F183" s="234"/>
      <c r="G183" s="234"/>
      <c r="H183" s="235"/>
      <c r="I183" s="191"/>
      <c r="J183" s="191"/>
      <c r="K183" s="198"/>
      <c r="L183" s="198"/>
      <c r="M183" s="198"/>
      <c r="N183" s="198"/>
      <c r="O183" s="198"/>
      <c r="P183" s="198"/>
      <c r="Q183" s="198"/>
      <c r="S183" s="200"/>
      <c r="W183" s="207"/>
      <c r="AH183" s="204"/>
      <c r="AI183" s="204"/>
      <c r="AJ183" s="204"/>
      <c r="AK183" s="204"/>
      <c r="AL183" s="204"/>
      <c r="AM183" s="204"/>
      <c r="AN183" s="204"/>
      <c r="AX183" s="204"/>
      <c r="AY183" s="204"/>
      <c r="AZ183" s="204"/>
      <c r="BA183" s="204"/>
      <c r="BB183" s="204"/>
      <c r="BC183" s="204"/>
      <c r="BD183" s="204"/>
      <c r="BE183" s="204"/>
      <c r="BF183" s="204"/>
      <c r="BG183" s="204"/>
      <c r="BH183" s="204"/>
      <c r="BI183" s="204"/>
      <c r="BJ183" s="204"/>
      <c r="BK183" s="204"/>
      <c r="BL183" s="204"/>
      <c r="BM183" s="204"/>
      <c r="BN183" s="204"/>
      <c r="BO183" s="204"/>
      <c r="BP183" s="204"/>
      <c r="BQ183" s="204"/>
      <c r="BR183" s="204"/>
      <c r="BS183" s="204"/>
      <c r="BT183" s="204"/>
      <c r="BU183" s="204"/>
      <c r="BV183" s="204"/>
      <c r="BW183" s="204"/>
      <c r="BX183" s="204"/>
      <c r="BY183" s="204"/>
      <c r="BZ183" s="204"/>
      <c r="CA183" s="204"/>
      <c r="CB183" s="207"/>
      <c r="CM183" s="209"/>
    </row>
    <row r="184" ht="15.75" customHeight="1">
      <c r="A184" s="200"/>
      <c r="B184" s="200"/>
      <c r="C184" s="200"/>
      <c r="D184" s="200"/>
      <c r="F184" s="234"/>
      <c r="G184" s="234"/>
      <c r="H184" s="235"/>
      <c r="I184" s="191"/>
      <c r="J184" s="191"/>
      <c r="K184" s="198"/>
      <c r="L184" s="198"/>
      <c r="M184" s="198"/>
      <c r="N184" s="198"/>
      <c r="O184" s="198"/>
      <c r="P184" s="198"/>
      <c r="Q184" s="198"/>
      <c r="S184" s="200"/>
      <c r="W184" s="207"/>
      <c r="AH184" s="204"/>
      <c r="AI184" s="204"/>
      <c r="AJ184" s="204"/>
      <c r="AK184" s="204"/>
      <c r="AL184" s="204"/>
      <c r="AM184" s="204"/>
      <c r="AN184" s="204"/>
      <c r="AX184" s="204"/>
      <c r="AY184" s="204"/>
      <c r="AZ184" s="204"/>
      <c r="BA184" s="204"/>
      <c r="BB184" s="204"/>
      <c r="BC184" s="204"/>
      <c r="BD184" s="204"/>
      <c r="BE184" s="204"/>
      <c r="BF184" s="204"/>
      <c r="BG184" s="204"/>
      <c r="BH184" s="204"/>
      <c r="BI184" s="204"/>
      <c r="BJ184" s="204"/>
      <c r="BK184" s="204"/>
      <c r="BL184" s="204"/>
      <c r="BM184" s="204"/>
      <c r="BN184" s="204"/>
      <c r="BO184" s="204"/>
      <c r="BP184" s="204"/>
      <c r="BQ184" s="204"/>
      <c r="BR184" s="204"/>
      <c r="BS184" s="204"/>
      <c r="BT184" s="204"/>
      <c r="BU184" s="204"/>
      <c r="BV184" s="204"/>
      <c r="BW184" s="204"/>
      <c r="BX184" s="204"/>
      <c r="BY184" s="204"/>
      <c r="BZ184" s="204"/>
      <c r="CA184" s="204"/>
      <c r="CB184" s="207"/>
      <c r="CM184" s="209"/>
    </row>
    <row r="185" ht="15.75" customHeight="1">
      <c r="A185" s="200"/>
      <c r="B185" s="200"/>
      <c r="C185" s="200"/>
      <c r="D185" s="200"/>
      <c r="F185" s="234"/>
      <c r="G185" s="234"/>
      <c r="H185" s="235"/>
      <c r="I185" s="191"/>
      <c r="J185" s="191"/>
      <c r="K185" s="198"/>
      <c r="L185" s="198"/>
      <c r="M185" s="198"/>
      <c r="N185" s="198"/>
      <c r="O185" s="198"/>
      <c r="P185" s="198"/>
      <c r="Q185" s="198"/>
      <c r="S185" s="200"/>
      <c r="W185" s="207"/>
      <c r="AH185" s="204"/>
      <c r="AI185" s="204"/>
      <c r="AJ185" s="204"/>
      <c r="AK185" s="204"/>
      <c r="AL185" s="204"/>
      <c r="AM185" s="204"/>
      <c r="AN185" s="204"/>
      <c r="AX185" s="204"/>
      <c r="AY185" s="204"/>
      <c r="AZ185" s="204"/>
      <c r="BA185" s="204"/>
      <c r="BB185" s="204"/>
      <c r="BC185" s="204"/>
      <c r="BD185" s="204"/>
      <c r="BE185" s="204"/>
      <c r="BF185" s="204"/>
      <c r="BG185" s="204"/>
      <c r="BH185" s="204"/>
      <c r="BI185" s="204"/>
      <c r="BJ185" s="204"/>
      <c r="BK185" s="204"/>
      <c r="BL185" s="204"/>
      <c r="BM185" s="204"/>
      <c r="BN185" s="204"/>
      <c r="BO185" s="204"/>
      <c r="BP185" s="204"/>
      <c r="BQ185" s="204"/>
      <c r="BR185" s="204"/>
      <c r="BS185" s="204"/>
      <c r="BT185" s="204"/>
      <c r="BU185" s="204"/>
      <c r="BV185" s="204"/>
      <c r="BW185" s="204"/>
      <c r="BX185" s="204"/>
      <c r="BY185" s="204"/>
      <c r="BZ185" s="204"/>
      <c r="CA185" s="204"/>
      <c r="CB185" s="207"/>
      <c r="CM185" s="209"/>
    </row>
    <row r="186" ht="15.75" customHeight="1">
      <c r="A186" s="200"/>
      <c r="B186" s="200"/>
      <c r="C186" s="200"/>
      <c r="D186" s="200"/>
      <c r="F186" s="234"/>
      <c r="G186" s="234"/>
      <c r="H186" s="235"/>
      <c r="I186" s="191"/>
      <c r="J186" s="191"/>
      <c r="K186" s="198"/>
      <c r="L186" s="198"/>
      <c r="M186" s="198"/>
      <c r="N186" s="198"/>
      <c r="O186" s="198"/>
      <c r="P186" s="198"/>
      <c r="Q186" s="198"/>
      <c r="S186" s="200"/>
      <c r="W186" s="207"/>
      <c r="AH186" s="204"/>
      <c r="AI186" s="204"/>
      <c r="AJ186" s="204"/>
      <c r="AK186" s="204"/>
      <c r="AL186" s="204"/>
      <c r="AM186" s="204"/>
      <c r="AN186" s="204"/>
      <c r="AX186" s="204"/>
      <c r="AY186" s="204"/>
      <c r="AZ186" s="204"/>
      <c r="BA186" s="204"/>
      <c r="BB186" s="204"/>
      <c r="BC186" s="204"/>
      <c r="BD186" s="204"/>
      <c r="BE186" s="204"/>
      <c r="BF186" s="204"/>
      <c r="BG186" s="204"/>
      <c r="BH186" s="204"/>
      <c r="BI186" s="204"/>
      <c r="BJ186" s="204"/>
      <c r="BK186" s="204"/>
      <c r="BL186" s="204"/>
      <c r="BM186" s="204"/>
      <c r="BN186" s="204"/>
      <c r="BO186" s="204"/>
      <c r="BP186" s="204"/>
      <c r="BQ186" s="204"/>
      <c r="BR186" s="204"/>
      <c r="BS186" s="204"/>
      <c r="BT186" s="204"/>
      <c r="BU186" s="204"/>
      <c r="BV186" s="204"/>
      <c r="BW186" s="204"/>
      <c r="BX186" s="204"/>
      <c r="BY186" s="204"/>
      <c r="BZ186" s="204"/>
      <c r="CA186" s="204"/>
      <c r="CB186" s="207"/>
      <c r="CM186" s="209"/>
    </row>
    <row r="187" ht="15.75" customHeight="1">
      <c r="A187" s="200"/>
      <c r="B187" s="200"/>
      <c r="C187" s="200"/>
      <c r="D187" s="200"/>
      <c r="F187" s="234"/>
      <c r="G187" s="234"/>
      <c r="H187" s="235"/>
      <c r="I187" s="191"/>
      <c r="J187" s="191"/>
      <c r="K187" s="198"/>
      <c r="L187" s="198"/>
      <c r="M187" s="198"/>
      <c r="N187" s="198"/>
      <c r="O187" s="198"/>
      <c r="P187" s="198"/>
      <c r="Q187" s="198"/>
      <c r="S187" s="200"/>
      <c r="W187" s="207"/>
      <c r="AH187" s="204"/>
      <c r="AI187" s="204"/>
      <c r="AJ187" s="204"/>
      <c r="AK187" s="204"/>
      <c r="AL187" s="204"/>
      <c r="AM187" s="204"/>
      <c r="AN187" s="204"/>
      <c r="AX187" s="204"/>
      <c r="AY187" s="204"/>
      <c r="AZ187" s="204"/>
      <c r="BA187" s="204"/>
      <c r="BB187" s="204"/>
      <c r="BC187" s="204"/>
      <c r="BD187" s="204"/>
      <c r="BE187" s="204"/>
      <c r="BF187" s="204"/>
      <c r="BG187" s="204"/>
      <c r="BH187" s="204"/>
      <c r="BI187" s="204"/>
      <c r="BJ187" s="204"/>
      <c r="BK187" s="204"/>
      <c r="BL187" s="204"/>
      <c r="BM187" s="204"/>
      <c r="BN187" s="204"/>
      <c r="BO187" s="204"/>
      <c r="BP187" s="204"/>
      <c r="BQ187" s="204"/>
      <c r="BR187" s="204"/>
      <c r="BS187" s="204"/>
      <c r="BT187" s="204"/>
      <c r="BU187" s="204"/>
      <c r="BV187" s="204"/>
      <c r="BW187" s="204"/>
      <c r="BX187" s="204"/>
      <c r="BY187" s="204"/>
      <c r="BZ187" s="204"/>
      <c r="CA187" s="204"/>
      <c r="CB187" s="207"/>
      <c r="CM187" s="209"/>
    </row>
    <row r="188" ht="15.75" customHeight="1">
      <c r="A188" s="200"/>
      <c r="B188" s="200"/>
      <c r="C188" s="200"/>
      <c r="D188" s="200"/>
      <c r="F188" s="234"/>
      <c r="G188" s="234"/>
      <c r="H188" s="235"/>
      <c r="I188" s="191"/>
      <c r="J188" s="191"/>
      <c r="K188" s="198"/>
      <c r="L188" s="198"/>
      <c r="M188" s="198"/>
      <c r="N188" s="198"/>
      <c r="O188" s="198"/>
      <c r="P188" s="198"/>
      <c r="Q188" s="198"/>
      <c r="S188" s="200"/>
      <c r="W188" s="207"/>
      <c r="AH188" s="204"/>
      <c r="AI188" s="204"/>
      <c r="AJ188" s="204"/>
      <c r="AK188" s="204"/>
      <c r="AL188" s="204"/>
      <c r="AM188" s="204"/>
      <c r="AN188" s="204"/>
      <c r="AX188" s="204"/>
      <c r="AY188" s="204"/>
      <c r="AZ188" s="204"/>
      <c r="BA188" s="204"/>
      <c r="BB188" s="204"/>
      <c r="BC188" s="204"/>
      <c r="BD188" s="204"/>
      <c r="BE188" s="204"/>
      <c r="BF188" s="204"/>
      <c r="BG188" s="204"/>
      <c r="BH188" s="204"/>
      <c r="BI188" s="204"/>
      <c r="BJ188" s="204"/>
      <c r="BK188" s="204"/>
      <c r="BL188" s="204"/>
      <c r="BM188" s="204"/>
      <c r="BN188" s="204"/>
      <c r="BO188" s="204"/>
      <c r="BP188" s="204"/>
      <c r="BQ188" s="204"/>
      <c r="BR188" s="204"/>
      <c r="BS188" s="204"/>
      <c r="BT188" s="204"/>
      <c r="BU188" s="204"/>
      <c r="BV188" s="204"/>
      <c r="BW188" s="204"/>
      <c r="BX188" s="204"/>
      <c r="BY188" s="204"/>
      <c r="BZ188" s="204"/>
      <c r="CA188" s="204"/>
      <c r="CB188" s="207"/>
      <c r="CM188" s="209"/>
    </row>
    <row r="189" ht="15.75" customHeight="1">
      <c r="A189" s="200"/>
      <c r="B189" s="200"/>
      <c r="C189" s="200"/>
      <c r="D189" s="200"/>
      <c r="F189" s="234"/>
      <c r="G189" s="234"/>
      <c r="H189" s="235"/>
      <c r="I189" s="191"/>
      <c r="J189" s="191"/>
      <c r="K189" s="198"/>
      <c r="L189" s="198"/>
      <c r="M189" s="198"/>
      <c r="N189" s="198"/>
      <c r="O189" s="198"/>
      <c r="P189" s="198"/>
      <c r="Q189" s="198"/>
      <c r="S189" s="200"/>
      <c r="W189" s="207"/>
      <c r="AH189" s="204"/>
      <c r="AI189" s="204"/>
      <c r="AJ189" s="204"/>
      <c r="AK189" s="204"/>
      <c r="AL189" s="204"/>
      <c r="AM189" s="204"/>
      <c r="AN189" s="204"/>
      <c r="AX189" s="204"/>
      <c r="AY189" s="204"/>
      <c r="AZ189" s="204"/>
      <c r="BA189" s="204"/>
      <c r="BB189" s="204"/>
      <c r="BC189" s="204"/>
      <c r="BD189" s="204"/>
      <c r="BE189" s="204"/>
      <c r="BF189" s="204"/>
      <c r="BG189" s="204"/>
      <c r="BH189" s="204"/>
      <c r="BI189" s="204"/>
      <c r="BJ189" s="204"/>
      <c r="BK189" s="204"/>
      <c r="BL189" s="204"/>
      <c r="BM189" s="204"/>
      <c r="BN189" s="204"/>
      <c r="BO189" s="204"/>
      <c r="BP189" s="204"/>
      <c r="BQ189" s="204"/>
      <c r="BR189" s="204"/>
      <c r="BS189" s="204"/>
      <c r="BT189" s="204"/>
      <c r="BU189" s="204"/>
      <c r="BV189" s="204"/>
      <c r="BW189" s="204"/>
      <c r="BX189" s="204"/>
      <c r="BY189" s="204"/>
      <c r="BZ189" s="204"/>
      <c r="CA189" s="204"/>
      <c r="CB189" s="207"/>
      <c r="CM189" s="209"/>
    </row>
    <row r="190" ht="15.75" customHeight="1">
      <c r="A190" s="200"/>
      <c r="B190" s="200"/>
      <c r="C190" s="200"/>
      <c r="D190" s="200"/>
      <c r="F190" s="234"/>
      <c r="G190" s="234"/>
      <c r="H190" s="235"/>
      <c r="I190" s="191"/>
      <c r="J190" s="191"/>
      <c r="K190" s="198"/>
      <c r="L190" s="198"/>
      <c r="M190" s="198"/>
      <c r="N190" s="198"/>
      <c r="O190" s="198"/>
      <c r="P190" s="198"/>
      <c r="Q190" s="198"/>
      <c r="S190" s="200"/>
      <c r="W190" s="207"/>
      <c r="AH190" s="204"/>
      <c r="AI190" s="204"/>
      <c r="AJ190" s="204"/>
      <c r="AK190" s="204"/>
      <c r="AL190" s="204"/>
      <c r="AM190" s="204"/>
      <c r="AN190" s="204"/>
      <c r="AX190" s="204"/>
      <c r="AY190" s="204"/>
      <c r="AZ190" s="204"/>
      <c r="BA190" s="204"/>
      <c r="BB190" s="204"/>
      <c r="BC190" s="204"/>
      <c r="BD190" s="204"/>
      <c r="BE190" s="204"/>
      <c r="BF190" s="204"/>
      <c r="BG190" s="204"/>
      <c r="BH190" s="204"/>
      <c r="BI190" s="204"/>
      <c r="BJ190" s="204"/>
      <c r="BK190" s="204"/>
      <c r="BL190" s="204"/>
      <c r="BM190" s="204"/>
      <c r="BN190" s="204"/>
      <c r="BO190" s="204"/>
      <c r="BP190" s="204"/>
      <c r="BQ190" s="204"/>
      <c r="BR190" s="204"/>
      <c r="BS190" s="204"/>
      <c r="BT190" s="204"/>
      <c r="BU190" s="204"/>
      <c r="BV190" s="204"/>
      <c r="BW190" s="204"/>
      <c r="BX190" s="204"/>
      <c r="BY190" s="204"/>
      <c r="BZ190" s="204"/>
      <c r="CA190" s="204"/>
      <c r="CB190" s="207"/>
      <c r="CM190" s="209"/>
    </row>
    <row r="191" ht="15.75" customHeight="1">
      <c r="A191" s="200"/>
      <c r="B191" s="200"/>
      <c r="C191" s="200"/>
      <c r="D191" s="200"/>
      <c r="F191" s="234"/>
      <c r="G191" s="234"/>
      <c r="H191" s="235"/>
      <c r="I191" s="191"/>
      <c r="J191" s="191"/>
      <c r="K191" s="198"/>
      <c r="L191" s="198"/>
      <c r="M191" s="198"/>
      <c r="N191" s="198"/>
      <c r="O191" s="198"/>
      <c r="P191" s="198"/>
      <c r="Q191" s="198"/>
      <c r="S191" s="200"/>
      <c r="W191" s="207"/>
      <c r="AH191" s="204"/>
      <c r="AI191" s="204"/>
      <c r="AJ191" s="204"/>
      <c r="AK191" s="204"/>
      <c r="AL191" s="204"/>
      <c r="AM191" s="204"/>
      <c r="AN191" s="204"/>
      <c r="AX191" s="204"/>
      <c r="AY191" s="204"/>
      <c r="AZ191" s="204"/>
      <c r="BA191" s="204"/>
      <c r="BB191" s="204"/>
      <c r="BC191" s="204"/>
      <c r="BD191" s="204"/>
      <c r="BE191" s="204"/>
      <c r="BF191" s="204"/>
      <c r="BG191" s="204"/>
      <c r="BH191" s="204"/>
      <c r="BI191" s="204"/>
      <c r="BJ191" s="204"/>
      <c r="BK191" s="204"/>
      <c r="BL191" s="204"/>
      <c r="BM191" s="204"/>
      <c r="BN191" s="204"/>
      <c r="BO191" s="204"/>
      <c r="BP191" s="204"/>
      <c r="BQ191" s="204"/>
      <c r="BR191" s="204"/>
      <c r="BS191" s="204"/>
      <c r="BT191" s="204"/>
      <c r="BU191" s="204"/>
      <c r="BV191" s="204"/>
      <c r="BW191" s="204"/>
      <c r="BX191" s="204"/>
      <c r="BY191" s="204"/>
      <c r="BZ191" s="204"/>
      <c r="CA191" s="204"/>
      <c r="CB191" s="207"/>
      <c r="CM191" s="209"/>
    </row>
    <row r="192" ht="15.75" customHeight="1">
      <c r="A192" s="200"/>
      <c r="B192" s="200"/>
      <c r="C192" s="200"/>
      <c r="D192" s="200"/>
      <c r="F192" s="234"/>
      <c r="G192" s="234"/>
      <c r="H192" s="235"/>
      <c r="I192" s="191"/>
      <c r="J192" s="191"/>
      <c r="K192" s="198"/>
      <c r="L192" s="198"/>
      <c r="M192" s="198"/>
      <c r="N192" s="198"/>
      <c r="O192" s="198"/>
      <c r="P192" s="198"/>
      <c r="Q192" s="198"/>
      <c r="S192" s="200"/>
      <c r="W192" s="207"/>
      <c r="AH192" s="204"/>
      <c r="AI192" s="204"/>
      <c r="AJ192" s="204"/>
      <c r="AK192" s="204"/>
      <c r="AL192" s="204"/>
      <c r="AM192" s="204"/>
      <c r="AN192" s="204"/>
      <c r="AX192" s="204"/>
      <c r="AY192" s="204"/>
      <c r="AZ192" s="204"/>
      <c r="BA192" s="204"/>
      <c r="BB192" s="204"/>
      <c r="BC192" s="204"/>
      <c r="BD192" s="204"/>
      <c r="BE192" s="204"/>
      <c r="BF192" s="204"/>
      <c r="BG192" s="204"/>
      <c r="BH192" s="204"/>
      <c r="BI192" s="204"/>
      <c r="BJ192" s="204"/>
      <c r="BK192" s="204"/>
      <c r="BL192" s="204"/>
      <c r="BM192" s="204"/>
      <c r="BN192" s="204"/>
      <c r="BO192" s="204"/>
      <c r="BP192" s="204"/>
      <c r="BQ192" s="204"/>
      <c r="BR192" s="204"/>
      <c r="BS192" s="204"/>
      <c r="BT192" s="204"/>
      <c r="BU192" s="204"/>
      <c r="BV192" s="204"/>
      <c r="BW192" s="204"/>
      <c r="BX192" s="204"/>
      <c r="BY192" s="204"/>
      <c r="BZ192" s="204"/>
      <c r="CA192" s="204"/>
      <c r="CB192" s="207"/>
      <c r="CM192" s="209"/>
    </row>
    <row r="193" ht="15.75" customHeight="1">
      <c r="A193" s="200"/>
      <c r="B193" s="200"/>
      <c r="C193" s="200"/>
      <c r="D193" s="200"/>
      <c r="F193" s="234"/>
      <c r="G193" s="234"/>
      <c r="H193" s="235"/>
      <c r="I193" s="191"/>
      <c r="J193" s="191"/>
      <c r="K193" s="198"/>
      <c r="L193" s="198"/>
      <c r="M193" s="198"/>
      <c r="N193" s="198"/>
      <c r="O193" s="198"/>
      <c r="P193" s="198"/>
      <c r="Q193" s="198"/>
      <c r="S193" s="200"/>
      <c r="W193" s="207"/>
      <c r="AH193" s="204"/>
      <c r="AI193" s="204"/>
      <c r="AJ193" s="204"/>
      <c r="AK193" s="204"/>
      <c r="AL193" s="204"/>
      <c r="AM193" s="204"/>
      <c r="AN193" s="204"/>
      <c r="AX193" s="204"/>
      <c r="AY193" s="204"/>
      <c r="AZ193" s="204"/>
      <c r="BA193" s="204"/>
      <c r="BB193" s="204"/>
      <c r="BC193" s="204"/>
      <c r="BD193" s="204"/>
      <c r="BE193" s="204"/>
      <c r="BF193" s="204"/>
      <c r="BG193" s="204"/>
      <c r="BH193" s="204"/>
      <c r="BI193" s="204"/>
      <c r="BJ193" s="204"/>
      <c r="BK193" s="204"/>
      <c r="BL193" s="204"/>
      <c r="BM193" s="204"/>
      <c r="BN193" s="204"/>
      <c r="BO193" s="204"/>
      <c r="BP193" s="204"/>
      <c r="BQ193" s="204"/>
      <c r="BR193" s="204"/>
      <c r="BS193" s="204"/>
      <c r="BT193" s="204"/>
      <c r="BU193" s="204"/>
      <c r="BV193" s="204"/>
      <c r="BW193" s="204"/>
      <c r="BX193" s="204"/>
      <c r="BY193" s="204"/>
      <c r="BZ193" s="204"/>
      <c r="CA193" s="204"/>
      <c r="CB193" s="207"/>
      <c r="CM193" s="209"/>
    </row>
    <row r="194" ht="15.75" customHeight="1">
      <c r="A194" s="200"/>
      <c r="B194" s="200"/>
      <c r="C194" s="200"/>
      <c r="D194" s="200"/>
      <c r="F194" s="234"/>
      <c r="G194" s="234"/>
      <c r="H194" s="235"/>
      <c r="I194" s="191"/>
      <c r="J194" s="191"/>
      <c r="K194" s="198"/>
      <c r="L194" s="198"/>
      <c r="M194" s="198"/>
      <c r="N194" s="198"/>
      <c r="O194" s="198"/>
      <c r="P194" s="198"/>
      <c r="Q194" s="198"/>
      <c r="S194" s="200"/>
      <c r="W194" s="207"/>
      <c r="AH194" s="204"/>
      <c r="AI194" s="204"/>
      <c r="AJ194" s="204"/>
      <c r="AK194" s="204"/>
      <c r="AL194" s="204"/>
      <c r="AM194" s="204"/>
      <c r="AN194" s="204"/>
      <c r="AX194" s="204"/>
      <c r="AY194" s="204"/>
      <c r="AZ194" s="204"/>
      <c r="BA194" s="204"/>
      <c r="BB194" s="204"/>
      <c r="BC194" s="204"/>
      <c r="BD194" s="204"/>
      <c r="BE194" s="204"/>
      <c r="BF194" s="204"/>
      <c r="BG194" s="204"/>
      <c r="BH194" s="204"/>
      <c r="BI194" s="204"/>
      <c r="BJ194" s="204"/>
      <c r="BK194" s="204"/>
      <c r="BL194" s="204"/>
      <c r="BM194" s="204"/>
      <c r="BN194" s="204"/>
      <c r="BO194" s="204"/>
      <c r="BP194" s="204"/>
      <c r="BQ194" s="204"/>
      <c r="BR194" s="204"/>
      <c r="BS194" s="204"/>
      <c r="BT194" s="204"/>
      <c r="BU194" s="204"/>
      <c r="BV194" s="204"/>
      <c r="BW194" s="204"/>
      <c r="BX194" s="204"/>
      <c r="BY194" s="204"/>
      <c r="BZ194" s="204"/>
      <c r="CA194" s="204"/>
      <c r="CB194" s="207"/>
      <c r="CM194" s="209"/>
    </row>
    <row r="195" ht="15.75" customHeight="1">
      <c r="A195" s="200"/>
      <c r="B195" s="200"/>
      <c r="C195" s="200"/>
      <c r="D195" s="200"/>
      <c r="F195" s="234"/>
      <c r="G195" s="234"/>
      <c r="H195" s="235"/>
      <c r="I195" s="191"/>
      <c r="J195" s="191"/>
      <c r="K195" s="198"/>
      <c r="L195" s="198"/>
      <c r="M195" s="198"/>
      <c r="N195" s="198"/>
      <c r="O195" s="198"/>
      <c r="P195" s="198"/>
      <c r="Q195" s="198"/>
      <c r="S195" s="200"/>
      <c r="W195" s="207"/>
      <c r="AH195" s="204"/>
      <c r="AI195" s="204"/>
      <c r="AJ195" s="204"/>
      <c r="AK195" s="204"/>
      <c r="AL195" s="204"/>
      <c r="AM195" s="204"/>
      <c r="AN195" s="204"/>
      <c r="AX195" s="204"/>
      <c r="AY195" s="204"/>
      <c r="AZ195" s="204"/>
      <c r="BA195" s="204"/>
      <c r="BB195" s="204"/>
      <c r="BC195" s="204"/>
      <c r="BD195" s="204"/>
      <c r="BE195" s="204"/>
      <c r="BF195" s="204"/>
      <c r="BG195" s="204"/>
      <c r="BH195" s="204"/>
      <c r="BI195" s="204"/>
      <c r="BJ195" s="204"/>
      <c r="BK195" s="204"/>
      <c r="BL195" s="204"/>
      <c r="BM195" s="204"/>
      <c r="BN195" s="204"/>
      <c r="BO195" s="204"/>
      <c r="BP195" s="204"/>
      <c r="BQ195" s="204"/>
      <c r="BR195" s="204"/>
      <c r="BS195" s="204"/>
      <c r="BT195" s="204"/>
      <c r="BU195" s="204"/>
      <c r="BV195" s="204"/>
      <c r="BW195" s="204"/>
      <c r="BX195" s="204"/>
      <c r="BY195" s="204"/>
      <c r="BZ195" s="204"/>
      <c r="CA195" s="204"/>
      <c r="CB195" s="207"/>
      <c r="CM195" s="209"/>
    </row>
    <row r="196" ht="15.75" customHeight="1">
      <c r="A196" s="200"/>
      <c r="B196" s="200"/>
      <c r="C196" s="200"/>
      <c r="D196" s="200"/>
      <c r="F196" s="234"/>
      <c r="G196" s="234"/>
      <c r="H196" s="235"/>
      <c r="I196" s="191"/>
      <c r="J196" s="191"/>
      <c r="K196" s="198"/>
      <c r="L196" s="198"/>
      <c r="M196" s="198"/>
      <c r="N196" s="198"/>
      <c r="O196" s="198"/>
      <c r="P196" s="198"/>
      <c r="Q196" s="198"/>
      <c r="S196" s="200"/>
      <c r="W196" s="207"/>
      <c r="AH196" s="204"/>
      <c r="AI196" s="204"/>
      <c r="AJ196" s="204"/>
      <c r="AK196" s="204"/>
      <c r="AL196" s="204"/>
      <c r="AM196" s="204"/>
      <c r="AN196" s="204"/>
      <c r="AX196" s="204"/>
      <c r="AY196" s="204"/>
      <c r="AZ196" s="204"/>
      <c r="BA196" s="204"/>
      <c r="BB196" s="204"/>
      <c r="BC196" s="204"/>
      <c r="BD196" s="204"/>
      <c r="BE196" s="204"/>
      <c r="BF196" s="204"/>
      <c r="BG196" s="204"/>
      <c r="BH196" s="204"/>
      <c r="BI196" s="204"/>
      <c r="BJ196" s="204"/>
      <c r="BK196" s="204"/>
      <c r="BL196" s="204"/>
      <c r="BM196" s="204"/>
      <c r="BN196" s="204"/>
      <c r="BO196" s="204"/>
      <c r="BP196" s="204"/>
      <c r="BQ196" s="204"/>
      <c r="BR196" s="204"/>
      <c r="BS196" s="204"/>
      <c r="BT196" s="204"/>
      <c r="BU196" s="204"/>
      <c r="BV196" s="204"/>
      <c r="BW196" s="204"/>
      <c r="BX196" s="204"/>
      <c r="BY196" s="204"/>
      <c r="BZ196" s="204"/>
      <c r="CA196" s="204"/>
      <c r="CB196" s="207"/>
      <c r="CM196" s="209"/>
    </row>
    <row r="197" ht="15.75" customHeight="1">
      <c r="A197" s="200"/>
      <c r="B197" s="200"/>
      <c r="C197" s="200"/>
      <c r="D197" s="200"/>
      <c r="F197" s="234"/>
      <c r="G197" s="234"/>
      <c r="H197" s="235"/>
      <c r="I197" s="191"/>
      <c r="J197" s="191"/>
      <c r="K197" s="198"/>
      <c r="L197" s="198"/>
      <c r="M197" s="198"/>
      <c r="N197" s="198"/>
      <c r="O197" s="198"/>
      <c r="P197" s="198"/>
      <c r="Q197" s="198"/>
      <c r="S197" s="200"/>
      <c r="W197" s="207"/>
      <c r="AH197" s="204"/>
      <c r="AI197" s="204"/>
      <c r="AJ197" s="204"/>
      <c r="AK197" s="204"/>
      <c r="AL197" s="204"/>
      <c r="AM197" s="204"/>
      <c r="AN197" s="204"/>
      <c r="AX197" s="204"/>
      <c r="AY197" s="204"/>
      <c r="AZ197" s="204"/>
      <c r="BA197" s="204"/>
      <c r="BB197" s="204"/>
      <c r="BC197" s="204"/>
      <c r="BD197" s="204"/>
      <c r="BE197" s="204"/>
      <c r="BF197" s="204"/>
      <c r="BG197" s="204"/>
      <c r="BH197" s="204"/>
      <c r="BI197" s="204"/>
      <c r="BJ197" s="204"/>
      <c r="BK197" s="204"/>
      <c r="BL197" s="204"/>
      <c r="BM197" s="204"/>
      <c r="BN197" s="204"/>
      <c r="BO197" s="204"/>
      <c r="BP197" s="204"/>
      <c r="BQ197" s="204"/>
      <c r="BR197" s="204"/>
      <c r="BS197" s="204"/>
      <c r="BT197" s="204"/>
      <c r="BU197" s="204"/>
      <c r="BV197" s="204"/>
      <c r="BW197" s="204"/>
      <c r="BX197" s="204"/>
      <c r="BY197" s="204"/>
      <c r="BZ197" s="204"/>
      <c r="CA197" s="204"/>
      <c r="CB197" s="207"/>
      <c r="CM197" s="209"/>
    </row>
    <row r="198" ht="15.75" customHeight="1">
      <c r="A198" s="200"/>
      <c r="B198" s="200"/>
      <c r="C198" s="200"/>
      <c r="D198" s="200"/>
      <c r="F198" s="234"/>
      <c r="G198" s="234"/>
      <c r="H198" s="235"/>
      <c r="I198" s="191"/>
      <c r="J198" s="191"/>
      <c r="K198" s="198"/>
      <c r="L198" s="198"/>
      <c r="M198" s="198"/>
      <c r="N198" s="198"/>
      <c r="O198" s="198"/>
      <c r="P198" s="198"/>
      <c r="Q198" s="198"/>
      <c r="S198" s="200"/>
      <c r="W198" s="207"/>
      <c r="AH198" s="204"/>
      <c r="AI198" s="204"/>
      <c r="AJ198" s="204"/>
      <c r="AK198" s="204"/>
      <c r="AL198" s="204"/>
      <c r="AM198" s="204"/>
      <c r="AN198" s="204"/>
      <c r="AX198" s="204"/>
      <c r="AY198" s="204"/>
      <c r="AZ198" s="204"/>
      <c r="BA198" s="204"/>
      <c r="BB198" s="204"/>
      <c r="BC198" s="204"/>
      <c r="BD198" s="204"/>
      <c r="BE198" s="204"/>
      <c r="BF198" s="204"/>
      <c r="BG198" s="204"/>
      <c r="BH198" s="204"/>
      <c r="BI198" s="204"/>
      <c r="BJ198" s="204"/>
      <c r="BK198" s="204"/>
      <c r="BL198" s="204"/>
      <c r="BM198" s="204"/>
      <c r="BN198" s="204"/>
      <c r="BO198" s="204"/>
      <c r="BP198" s="204"/>
      <c r="BQ198" s="204"/>
      <c r="BR198" s="204"/>
      <c r="BS198" s="204"/>
      <c r="BT198" s="204"/>
      <c r="BU198" s="204"/>
      <c r="BV198" s="204"/>
      <c r="BW198" s="204"/>
      <c r="BX198" s="204"/>
      <c r="BY198" s="204"/>
      <c r="BZ198" s="204"/>
      <c r="CA198" s="204"/>
      <c r="CB198" s="207"/>
      <c r="CM198" s="209"/>
    </row>
    <row r="199" ht="15.75" customHeight="1">
      <c r="A199" s="200"/>
      <c r="B199" s="200"/>
      <c r="C199" s="200"/>
      <c r="D199" s="200"/>
      <c r="F199" s="234"/>
      <c r="G199" s="234"/>
      <c r="H199" s="235"/>
      <c r="I199" s="191"/>
      <c r="J199" s="191"/>
      <c r="K199" s="198"/>
      <c r="L199" s="198"/>
      <c r="M199" s="198"/>
      <c r="N199" s="198"/>
      <c r="O199" s="198"/>
      <c r="P199" s="198"/>
      <c r="Q199" s="198"/>
      <c r="S199" s="200"/>
      <c r="W199" s="207"/>
      <c r="AH199" s="204"/>
      <c r="AI199" s="204"/>
      <c r="AJ199" s="204"/>
      <c r="AK199" s="204"/>
      <c r="AL199" s="204"/>
      <c r="AM199" s="204"/>
      <c r="AN199" s="204"/>
      <c r="AX199" s="204"/>
      <c r="AY199" s="204"/>
      <c r="AZ199" s="204"/>
      <c r="BA199" s="204"/>
      <c r="BB199" s="204"/>
      <c r="BC199" s="204"/>
      <c r="BD199" s="204"/>
      <c r="BE199" s="204"/>
      <c r="BF199" s="204"/>
      <c r="BG199" s="204"/>
      <c r="BH199" s="204"/>
      <c r="BI199" s="204"/>
      <c r="BJ199" s="204"/>
      <c r="BK199" s="204"/>
      <c r="BL199" s="204"/>
      <c r="BM199" s="204"/>
      <c r="BN199" s="204"/>
      <c r="BO199" s="204"/>
      <c r="BP199" s="204"/>
      <c r="BQ199" s="204"/>
      <c r="BR199" s="204"/>
      <c r="BS199" s="204"/>
      <c r="BT199" s="204"/>
      <c r="BU199" s="204"/>
      <c r="BV199" s="204"/>
      <c r="BW199" s="204"/>
      <c r="BX199" s="204"/>
      <c r="BY199" s="204"/>
      <c r="BZ199" s="204"/>
      <c r="CA199" s="204"/>
      <c r="CB199" s="207"/>
      <c r="CM199" s="209"/>
    </row>
    <row r="200" ht="15.75" customHeight="1">
      <c r="A200" s="200"/>
      <c r="B200" s="200"/>
      <c r="C200" s="200"/>
      <c r="D200" s="200"/>
      <c r="F200" s="234"/>
      <c r="G200" s="234"/>
      <c r="H200" s="235"/>
      <c r="I200" s="191"/>
      <c r="J200" s="191"/>
      <c r="K200" s="198"/>
      <c r="L200" s="198"/>
      <c r="M200" s="198"/>
      <c r="N200" s="198"/>
      <c r="O200" s="198"/>
      <c r="P200" s="198"/>
      <c r="Q200" s="198"/>
      <c r="S200" s="200"/>
      <c r="W200" s="207"/>
      <c r="AH200" s="204"/>
      <c r="AI200" s="204"/>
      <c r="AJ200" s="204"/>
      <c r="AK200" s="204"/>
      <c r="AL200" s="204"/>
      <c r="AM200" s="204"/>
      <c r="AN200" s="204"/>
      <c r="AX200" s="204"/>
      <c r="AY200" s="204"/>
      <c r="AZ200" s="204"/>
      <c r="BA200" s="204"/>
      <c r="BB200" s="204"/>
      <c r="BC200" s="204"/>
      <c r="BD200" s="204"/>
      <c r="BE200" s="204"/>
      <c r="BF200" s="204"/>
      <c r="BG200" s="204"/>
      <c r="BH200" s="204"/>
      <c r="BI200" s="204"/>
      <c r="BJ200" s="204"/>
      <c r="BK200" s="204"/>
      <c r="BL200" s="204"/>
      <c r="BM200" s="204"/>
      <c r="BN200" s="204"/>
      <c r="BO200" s="204"/>
      <c r="BP200" s="204"/>
      <c r="BQ200" s="204"/>
      <c r="BR200" s="204"/>
      <c r="BS200" s="204"/>
      <c r="BT200" s="204"/>
      <c r="BU200" s="204"/>
      <c r="BV200" s="204"/>
      <c r="BW200" s="204"/>
      <c r="BX200" s="204"/>
      <c r="BY200" s="204"/>
      <c r="BZ200" s="204"/>
      <c r="CA200" s="204"/>
      <c r="CB200" s="207"/>
      <c r="CM200" s="209"/>
    </row>
    <row r="201" ht="15.75" customHeight="1">
      <c r="A201" s="200"/>
      <c r="B201" s="200"/>
      <c r="C201" s="200"/>
      <c r="D201" s="200"/>
      <c r="F201" s="234"/>
      <c r="G201" s="234"/>
      <c r="H201" s="235"/>
      <c r="I201" s="191"/>
      <c r="J201" s="191"/>
      <c r="K201" s="198"/>
      <c r="L201" s="198"/>
      <c r="M201" s="198"/>
      <c r="N201" s="198"/>
      <c r="O201" s="198"/>
      <c r="P201" s="198"/>
      <c r="Q201" s="198"/>
      <c r="S201" s="200"/>
      <c r="W201" s="207"/>
      <c r="AH201" s="204"/>
      <c r="AI201" s="204"/>
      <c r="AJ201" s="204"/>
      <c r="AK201" s="204"/>
      <c r="AL201" s="204"/>
      <c r="AM201" s="204"/>
      <c r="AN201" s="204"/>
      <c r="AX201" s="204"/>
      <c r="AY201" s="204"/>
      <c r="AZ201" s="204"/>
      <c r="BA201" s="204"/>
      <c r="BB201" s="204"/>
      <c r="BC201" s="204"/>
      <c r="BD201" s="204"/>
      <c r="BE201" s="204"/>
      <c r="BF201" s="204"/>
      <c r="BG201" s="204"/>
      <c r="BH201" s="204"/>
      <c r="BI201" s="204"/>
      <c r="BJ201" s="204"/>
      <c r="BK201" s="204"/>
      <c r="BL201" s="204"/>
      <c r="BM201" s="204"/>
      <c r="BN201" s="204"/>
      <c r="BO201" s="204"/>
      <c r="BP201" s="204"/>
      <c r="BQ201" s="204"/>
      <c r="BR201" s="204"/>
      <c r="BS201" s="204"/>
      <c r="BT201" s="204"/>
      <c r="BU201" s="204"/>
      <c r="BV201" s="204"/>
      <c r="BW201" s="204"/>
      <c r="BX201" s="204"/>
      <c r="BY201" s="204"/>
      <c r="BZ201" s="204"/>
      <c r="CA201" s="204"/>
      <c r="CB201" s="207"/>
      <c r="CM201" s="209"/>
    </row>
    <row r="202" ht="15.75" customHeight="1">
      <c r="A202" s="200"/>
      <c r="B202" s="200"/>
      <c r="C202" s="200"/>
      <c r="D202" s="200"/>
      <c r="F202" s="234"/>
      <c r="G202" s="234"/>
      <c r="H202" s="235"/>
      <c r="I202" s="191"/>
      <c r="J202" s="191"/>
      <c r="K202" s="198"/>
      <c r="L202" s="198"/>
      <c r="M202" s="198"/>
      <c r="N202" s="198"/>
      <c r="O202" s="198"/>
      <c r="P202" s="198"/>
      <c r="Q202" s="198"/>
      <c r="S202" s="200"/>
      <c r="W202" s="207"/>
      <c r="AH202" s="204"/>
      <c r="AI202" s="204"/>
      <c r="AJ202" s="204"/>
      <c r="AK202" s="204"/>
      <c r="AL202" s="204"/>
      <c r="AM202" s="204"/>
      <c r="AN202" s="204"/>
      <c r="AX202" s="204"/>
      <c r="AY202" s="204"/>
      <c r="AZ202" s="204"/>
      <c r="BA202" s="204"/>
      <c r="BB202" s="204"/>
      <c r="BC202" s="204"/>
      <c r="BD202" s="204"/>
      <c r="BE202" s="204"/>
      <c r="BF202" s="204"/>
      <c r="BG202" s="204"/>
      <c r="BH202" s="204"/>
      <c r="BI202" s="204"/>
      <c r="BJ202" s="204"/>
      <c r="BK202" s="204"/>
      <c r="BL202" s="204"/>
      <c r="BM202" s="204"/>
      <c r="BN202" s="204"/>
      <c r="BO202" s="204"/>
      <c r="BP202" s="204"/>
      <c r="BQ202" s="204"/>
      <c r="BR202" s="204"/>
      <c r="BS202" s="204"/>
      <c r="BT202" s="204"/>
      <c r="BU202" s="204"/>
      <c r="BV202" s="204"/>
      <c r="BW202" s="204"/>
      <c r="BX202" s="204"/>
      <c r="BY202" s="204"/>
      <c r="BZ202" s="204"/>
      <c r="CA202" s="204"/>
      <c r="CB202" s="207"/>
      <c r="CM202" s="209"/>
    </row>
    <row r="203" ht="15.75" customHeight="1">
      <c r="A203" s="200"/>
      <c r="B203" s="200"/>
      <c r="C203" s="200"/>
      <c r="D203" s="200"/>
      <c r="F203" s="234"/>
      <c r="G203" s="234"/>
      <c r="H203" s="235"/>
      <c r="I203" s="191"/>
      <c r="J203" s="191"/>
      <c r="K203" s="198"/>
      <c r="L203" s="198"/>
      <c r="M203" s="198"/>
      <c r="N203" s="198"/>
      <c r="O203" s="198"/>
      <c r="P203" s="198"/>
      <c r="Q203" s="198"/>
      <c r="S203" s="200"/>
      <c r="W203" s="207"/>
      <c r="AH203" s="204"/>
      <c r="AI203" s="204"/>
      <c r="AJ203" s="204"/>
      <c r="AK203" s="204"/>
      <c r="AL203" s="204"/>
      <c r="AM203" s="204"/>
      <c r="AN203" s="204"/>
      <c r="AX203" s="204"/>
      <c r="AY203" s="204"/>
      <c r="AZ203" s="204"/>
      <c r="BA203" s="204"/>
      <c r="BB203" s="204"/>
      <c r="BC203" s="204"/>
      <c r="BD203" s="204"/>
      <c r="BE203" s="204"/>
      <c r="BF203" s="204"/>
      <c r="BG203" s="204"/>
      <c r="BH203" s="204"/>
      <c r="BI203" s="204"/>
      <c r="BJ203" s="204"/>
      <c r="BK203" s="204"/>
      <c r="BL203" s="204"/>
      <c r="BM203" s="204"/>
      <c r="BN203" s="204"/>
      <c r="BO203" s="204"/>
      <c r="BP203" s="204"/>
      <c r="BQ203" s="204"/>
      <c r="BR203" s="204"/>
      <c r="BS203" s="204"/>
      <c r="BT203" s="204"/>
      <c r="BU203" s="204"/>
      <c r="BV203" s="204"/>
      <c r="BW203" s="204"/>
      <c r="BX203" s="204"/>
      <c r="BY203" s="204"/>
      <c r="BZ203" s="204"/>
      <c r="CA203" s="204"/>
      <c r="CB203" s="207"/>
      <c r="CM203" s="209"/>
    </row>
    <row r="204" ht="15.75" customHeight="1">
      <c r="A204" s="200"/>
      <c r="B204" s="200"/>
      <c r="C204" s="200"/>
      <c r="D204" s="200"/>
      <c r="F204" s="234"/>
      <c r="G204" s="234"/>
      <c r="H204" s="235"/>
      <c r="I204" s="191"/>
      <c r="J204" s="191"/>
      <c r="K204" s="198"/>
      <c r="L204" s="198"/>
      <c r="M204" s="198"/>
      <c r="N204" s="198"/>
      <c r="O204" s="198"/>
      <c r="P204" s="198"/>
      <c r="Q204" s="198"/>
      <c r="S204" s="200"/>
      <c r="W204" s="207"/>
      <c r="AH204" s="204"/>
      <c r="AI204" s="204"/>
      <c r="AJ204" s="204"/>
      <c r="AK204" s="204"/>
      <c r="AL204" s="204"/>
      <c r="AM204" s="204"/>
      <c r="AN204" s="204"/>
      <c r="AX204" s="204"/>
      <c r="AY204" s="204"/>
      <c r="AZ204" s="204"/>
      <c r="BA204" s="204"/>
      <c r="BB204" s="204"/>
      <c r="BC204" s="204"/>
      <c r="BD204" s="204"/>
      <c r="BE204" s="204"/>
      <c r="BF204" s="204"/>
      <c r="BG204" s="204"/>
      <c r="BH204" s="204"/>
      <c r="BI204" s="204"/>
      <c r="BJ204" s="204"/>
      <c r="BK204" s="204"/>
      <c r="BL204" s="204"/>
      <c r="BM204" s="204"/>
      <c r="BN204" s="204"/>
      <c r="BO204" s="204"/>
      <c r="BP204" s="204"/>
      <c r="BQ204" s="204"/>
      <c r="BR204" s="204"/>
      <c r="BS204" s="204"/>
      <c r="BT204" s="204"/>
      <c r="BU204" s="204"/>
      <c r="BV204" s="204"/>
      <c r="BW204" s="204"/>
      <c r="BX204" s="204"/>
      <c r="BY204" s="204"/>
      <c r="BZ204" s="204"/>
      <c r="CA204" s="204"/>
      <c r="CB204" s="207"/>
      <c r="CM204" s="209"/>
    </row>
    <row r="205" ht="15.75" customHeight="1">
      <c r="A205" s="200"/>
      <c r="B205" s="200"/>
      <c r="C205" s="200"/>
      <c r="D205" s="200"/>
      <c r="F205" s="234"/>
      <c r="G205" s="234"/>
      <c r="H205" s="235"/>
      <c r="I205" s="191"/>
      <c r="J205" s="191"/>
      <c r="K205" s="198"/>
      <c r="L205" s="198"/>
      <c r="M205" s="198"/>
      <c r="N205" s="198"/>
      <c r="O205" s="198"/>
      <c r="P205" s="198"/>
      <c r="Q205" s="198"/>
      <c r="S205" s="200"/>
      <c r="W205" s="207"/>
      <c r="AH205" s="204"/>
      <c r="AI205" s="204"/>
      <c r="AJ205" s="204"/>
      <c r="AK205" s="204"/>
      <c r="AL205" s="204"/>
      <c r="AM205" s="204"/>
      <c r="AN205" s="204"/>
      <c r="AX205" s="204"/>
      <c r="AY205" s="204"/>
      <c r="AZ205" s="204"/>
      <c r="BA205" s="204"/>
      <c r="BB205" s="204"/>
      <c r="BC205" s="204"/>
      <c r="BD205" s="204"/>
      <c r="BE205" s="204"/>
      <c r="BF205" s="204"/>
      <c r="BG205" s="204"/>
      <c r="BH205" s="204"/>
      <c r="BI205" s="204"/>
      <c r="BJ205" s="204"/>
      <c r="BK205" s="204"/>
      <c r="BL205" s="204"/>
      <c r="BM205" s="204"/>
      <c r="BN205" s="204"/>
      <c r="BO205" s="204"/>
      <c r="BP205" s="204"/>
      <c r="BQ205" s="204"/>
      <c r="BR205" s="204"/>
      <c r="BS205" s="204"/>
      <c r="BT205" s="204"/>
      <c r="BU205" s="204"/>
      <c r="BV205" s="204"/>
      <c r="BW205" s="204"/>
      <c r="BX205" s="204"/>
      <c r="BY205" s="204"/>
      <c r="BZ205" s="204"/>
      <c r="CA205" s="204"/>
      <c r="CB205" s="207"/>
      <c r="CM205" s="209"/>
    </row>
    <row r="206" ht="15.75" customHeight="1">
      <c r="A206" s="200"/>
      <c r="B206" s="200"/>
      <c r="C206" s="200"/>
      <c r="D206" s="200"/>
      <c r="F206" s="234"/>
      <c r="G206" s="234"/>
      <c r="H206" s="235"/>
      <c r="I206" s="191"/>
      <c r="J206" s="191"/>
      <c r="K206" s="198"/>
      <c r="L206" s="198"/>
      <c r="M206" s="198"/>
      <c r="N206" s="198"/>
      <c r="O206" s="198"/>
      <c r="P206" s="198"/>
      <c r="Q206" s="198"/>
      <c r="S206" s="200"/>
      <c r="W206" s="207"/>
      <c r="AH206" s="204"/>
      <c r="AI206" s="204"/>
      <c r="AJ206" s="204"/>
      <c r="AK206" s="204"/>
      <c r="AL206" s="204"/>
      <c r="AM206" s="204"/>
      <c r="AN206" s="204"/>
      <c r="AX206" s="204"/>
      <c r="AY206" s="204"/>
      <c r="AZ206" s="204"/>
      <c r="BA206" s="204"/>
      <c r="BB206" s="204"/>
      <c r="BC206" s="204"/>
      <c r="BD206" s="204"/>
      <c r="BE206" s="204"/>
      <c r="BF206" s="204"/>
      <c r="BG206" s="204"/>
      <c r="BH206" s="204"/>
      <c r="BI206" s="204"/>
      <c r="BJ206" s="204"/>
      <c r="BK206" s="204"/>
      <c r="BL206" s="204"/>
      <c r="BM206" s="204"/>
      <c r="BN206" s="204"/>
      <c r="BO206" s="204"/>
      <c r="BP206" s="204"/>
      <c r="BQ206" s="204"/>
      <c r="BR206" s="204"/>
      <c r="BS206" s="204"/>
      <c r="BT206" s="204"/>
      <c r="BU206" s="204"/>
      <c r="BV206" s="204"/>
      <c r="BW206" s="204"/>
      <c r="BX206" s="204"/>
      <c r="BY206" s="204"/>
      <c r="BZ206" s="204"/>
      <c r="CA206" s="204"/>
      <c r="CB206" s="207"/>
      <c r="CM206" s="209"/>
    </row>
    <row r="207" ht="15.75" customHeight="1">
      <c r="A207" s="200"/>
      <c r="B207" s="200"/>
      <c r="C207" s="200"/>
      <c r="D207" s="200"/>
      <c r="F207" s="234"/>
      <c r="G207" s="234"/>
      <c r="H207" s="235"/>
      <c r="I207" s="191"/>
      <c r="J207" s="191"/>
      <c r="K207" s="198"/>
      <c r="L207" s="198"/>
      <c r="M207" s="198"/>
      <c r="N207" s="198"/>
      <c r="O207" s="198"/>
      <c r="P207" s="198"/>
      <c r="Q207" s="198"/>
      <c r="S207" s="200"/>
      <c r="W207" s="207"/>
      <c r="AH207" s="204"/>
      <c r="AI207" s="204"/>
      <c r="AJ207" s="204"/>
      <c r="AK207" s="204"/>
      <c r="AL207" s="204"/>
      <c r="AM207" s="204"/>
      <c r="AN207" s="204"/>
      <c r="AX207" s="204"/>
      <c r="AY207" s="204"/>
      <c r="AZ207" s="204"/>
      <c r="BA207" s="204"/>
      <c r="BB207" s="204"/>
      <c r="BC207" s="204"/>
      <c r="BD207" s="204"/>
      <c r="BE207" s="204"/>
      <c r="BF207" s="204"/>
      <c r="BG207" s="204"/>
      <c r="BH207" s="204"/>
      <c r="BI207" s="204"/>
      <c r="BJ207" s="204"/>
      <c r="BK207" s="204"/>
      <c r="BL207" s="204"/>
      <c r="BM207" s="204"/>
      <c r="BN207" s="204"/>
      <c r="BO207" s="204"/>
      <c r="BP207" s="204"/>
      <c r="BQ207" s="204"/>
      <c r="BR207" s="204"/>
      <c r="BS207" s="204"/>
      <c r="BT207" s="204"/>
      <c r="BU207" s="204"/>
      <c r="BV207" s="204"/>
      <c r="BW207" s="204"/>
      <c r="BX207" s="204"/>
      <c r="BY207" s="204"/>
      <c r="BZ207" s="204"/>
      <c r="CA207" s="204"/>
      <c r="CB207" s="207"/>
      <c r="CM207" s="209"/>
    </row>
    <row r="208" ht="15.75" customHeight="1">
      <c r="A208" s="200"/>
      <c r="B208" s="200"/>
      <c r="C208" s="200"/>
      <c r="D208" s="200"/>
      <c r="F208" s="234"/>
      <c r="G208" s="234"/>
      <c r="H208" s="235"/>
      <c r="I208" s="191"/>
      <c r="J208" s="191"/>
      <c r="K208" s="198"/>
      <c r="L208" s="198"/>
      <c r="M208" s="198"/>
      <c r="N208" s="198"/>
      <c r="O208" s="198"/>
      <c r="P208" s="198"/>
      <c r="Q208" s="198"/>
      <c r="S208" s="200"/>
      <c r="W208" s="207"/>
      <c r="AH208" s="204"/>
      <c r="AI208" s="204"/>
      <c r="AJ208" s="204"/>
      <c r="AK208" s="204"/>
      <c r="AL208" s="204"/>
      <c r="AM208" s="204"/>
      <c r="AN208" s="204"/>
      <c r="AX208" s="204"/>
      <c r="AY208" s="204"/>
      <c r="AZ208" s="204"/>
      <c r="BA208" s="204"/>
      <c r="BB208" s="204"/>
      <c r="BC208" s="204"/>
      <c r="BD208" s="204"/>
      <c r="BE208" s="204"/>
      <c r="BF208" s="204"/>
      <c r="BG208" s="204"/>
      <c r="BH208" s="204"/>
      <c r="BI208" s="204"/>
      <c r="BJ208" s="204"/>
      <c r="BK208" s="204"/>
      <c r="BL208" s="204"/>
      <c r="BM208" s="204"/>
      <c r="BN208" s="204"/>
      <c r="BO208" s="204"/>
      <c r="BP208" s="204"/>
      <c r="BQ208" s="204"/>
      <c r="BR208" s="204"/>
      <c r="BS208" s="204"/>
      <c r="BT208" s="204"/>
      <c r="BU208" s="204"/>
      <c r="BV208" s="204"/>
      <c r="BW208" s="204"/>
      <c r="BX208" s="204"/>
      <c r="BY208" s="204"/>
      <c r="BZ208" s="204"/>
      <c r="CA208" s="204"/>
      <c r="CB208" s="207"/>
      <c r="CM208" s="209"/>
    </row>
    <row r="209" ht="15.75" customHeight="1">
      <c r="A209" s="200"/>
      <c r="B209" s="200"/>
      <c r="C209" s="200"/>
      <c r="D209" s="200"/>
      <c r="F209" s="234"/>
      <c r="G209" s="234"/>
      <c r="H209" s="235"/>
      <c r="I209" s="191"/>
      <c r="J209" s="191"/>
      <c r="K209" s="198"/>
      <c r="L209" s="198"/>
      <c r="M209" s="198"/>
      <c r="N209" s="198"/>
      <c r="O209" s="198"/>
      <c r="P209" s="198"/>
      <c r="Q209" s="198"/>
      <c r="S209" s="200"/>
      <c r="W209" s="207"/>
      <c r="AH209" s="204"/>
      <c r="AI209" s="204"/>
      <c r="AJ209" s="204"/>
      <c r="AK209" s="204"/>
      <c r="AL209" s="204"/>
      <c r="AM209" s="204"/>
      <c r="AN209" s="204"/>
      <c r="AX209" s="204"/>
      <c r="AY209" s="204"/>
      <c r="AZ209" s="204"/>
      <c r="BA209" s="204"/>
      <c r="BB209" s="204"/>
      <c r="BC209" s="204"/>
      <c r="BD209" s="204"/>
      <c r="BE209" s="204"/>
      <c r="BF209" s="204"/>
      <c r="BG209" s="204"/>
      <c r="BH209" s="204"/>
      <c r="BI209" s="204"/>
      <c r="BJ209" s="204"/>
      <c r="BK209" s="204"/>
      <c r="BL209" s="204"/>
      <c r="BM209" s="204"/>
      <c r="BN209" s="204"/>
      <c r="BO209" s="204"/>
      <c r="BP209" s="204"/>
      <c r="BQ209" s="204"/>
      <c r="BR209" s="204"/>
      <c r="BS209" s="204"/>
      <c r="BT209" s="204"/>
      <c r="BU209" s="204"/>
      <c r="BV209" s="204"/>
      <c r="BW209" s="204"/>
      <c r="BX209" s="204"/>
      <c r="BY209" s="204"/>
      <c r="BZ209" s="204"/>
      <c r="CA209" s="204"/>
      <c r="CB209" s="207"/>
      <c r="CM209" s="209"/>
    </row>
    <row r="210" ht="15.75" customHeight="1">
      <c r="A210" s="200"/>
      <c r="B210" s="200"/>
      <c r="C210" s="200"/>
      <c r="D210" s="200"/>
      <c r="F210" s="234"/>
      <c r="G210" s="234"/>
      <c r="H210" s="235"/>
      <c r="I210" s="191"/>
      <c r="J210" s="191"/>
      <c r="K210" s="198"/>
      <c r="L210" s="198"/>
      <c r="M210" s="198"/>
      <c r="N210" s="198"/>
      <c r="O210" s="198"/>
      <c r="P210" s="198"/>
      <c r="Q210" s="198"/>
      <c r="S210" s="200"/>
      <c r="W210" s="207"/>
      <c r="AH210" s="204"/>
      <c r="AI210" s="204"/>
      <c r="AJ210" s="204"/>
      <c r="AK210" s="204"/>
      <c r="AL210" s="204"/>
      <c r="AM210" s="204"/>
      <c r="AN210" s="204"/>
      <c r="AX210" s="204"/>
      <c r="AY210" s="204"/>
      <c r="AZ210" s="204"/>
      <c r="BA210" s="204"/>
      <c r="BB210" s="204"/>
      <c r="BC210" s="204"/>
      <c r="BD210" s="204"/>
      <c r="BE210" s="204"/>
      <c r="BF210" s="204"/>
      <c r="BG210" s="204"/>
      <c r="BH210" s="204"/>
      <c r="BI210" s="204"/>
      <c r="BJ210" s="204"/>
      <c r="BK210" s="204"/>
      <c r="BL210" s="204"/>
      <c r="BM210" s="204"/>
      <c r="BN210" s="204"/>
      <c r="BO210" s="204"/>
      <c r="BP210" s="204"/>
      <c r="BQ210" s="204"/>
      <c r="BR210" s="204"/>
      <c r="BS210" s="204"/>
      <c r="BT210" s="204"/>
      <c r="BU210" s="204"/>
      <c r="BV210" s="204"/>
      <c r="BW210" s="204"/>
      <c r="BX210" s="204"/>
      <c r="BY210" s="204"/>
      <c r="BZ210" s="204"/>
      <c r="CA210" s="204"/>
      <c r="CB210" s="207"/>
      <c r="CM210" s="209"/>
    </row>
    <row r="211" ht="15.75" customHeight="1">
      <c r="A211" s="200"/>
      <c r="B211" s="200"/>
      <c r="C211" s="200"/>
      <c r="D211" s="200"/>
      <c r="F211" s="234"/>
      <c r="G211" s="234"/>
      <c r="H211" s="235"/>
      <c r="I211" s="191"/>
      <c r="J211" s="191"/>
      <c r="K211" s="198"/>
      <c r="L211" s="198"/>
      <c r="M211" s="198"/>
      <c r="N211" s="198"/>
      <c r="O211" s="198"/>
      <c r="P211" s="198"/>
      <c r="Q211" s="198"/>
      <c r="S211" s="200"/>
      <c r="W211" s="207"/>
      <c r="AH211" s="204"/>
      <c r="AI211" s="204"/>
      <c r="AJ211" s="204"/>
      <c r="AK211" s="204"/>
      <c r="AL211" s="204"/>
      <c r="AM211" s="204"/>
      <c r="AN211" s="204"/>
      <c r="AX211" s="204"/>
      <c r="AY211" s="204"/>
      <c r="AZ211" s="204"/>
      <c r="BA211" s="204"/>
      <c r="BB211" s="204"/>
      <c r="BC211" s="204"/>
      <c r="BD211" s="204"/>
      <c r="BE211" s="204"/>
      <c r="BF211" s="204"/>
      <c r="BG211" s="204"/>
      <c r="BH211" s="204"/>
      <c r="BI211" s="204"/>
      <c r="BJ211" s="204"/>
      <c r="BK211" s="204"/>
      <c r="BL211" s="204"/>
      <c r="BM211" s="204"/>
      <c r="BN211" s="204"/>
      <c r="BO211" s="204"/>
      <c r="BP211" s="204"/>
      <c r="BQ211" s="204"/>
      <c r="BR211" s="204"/>
      <c r="BS211" s="204"/>
      <c r="BT211" s="204"/>
      <c r="BU211" s="204"/>
      <c r="BV211" s="204"/>
      <c r="BW211" s="204"/>
      <c r="BX211" s="204"/>
      <c r="BY211" s="204"/>
      <c r="BZ211" s="204"/>
      <c r="CA211" s="204"/>
      <c r="CB211" s="207"/>
      <c r="CM211" s="209"/>
    </row>
    <row r="212" ht="15.75" customHeight="1">
      <c r="A212" s="200"/>
      <c r="B212" s="200"/>
      <c r="C212" s="200"/>
      <c r="D212" s="200"/>
      <c r="F212" s="234"/>
      <c r="G212" s="234"/>
      <c r="H212" s="235"/>
      <c r="I212" s="191"/>
      <c r="J212" s="191"/>
      <c r="K212" s="198"/>
      <c r="L212" s="198"/>
      <c r="M212" s="198"/>
      <c r="N212" s="198"/>
      <c r="O212" s="198"/>
      <c r="P212" s="198"/>
      <c r="Q212" s="198"/>
      <c r="S212" s="200"/>
      <c r="W212" s="207"/>
      <c r="AH212" s="204"/>
      <c r="AI212" s="204"/>
      <c r="AJ212" s="204"/>
      <c r="AK212" s="204"/>
      <c r="AL212" s="204"/>
      <c r="AM212" s="204"/>
      <c r="AN212" s="204"/>
      <c r="AX212" s="204"/>
      <c r="AY212" s="204"/>
      <c r="AZ212" s="204"/>
      <c r="BA212" s="204"/>
      <c r="BB212" s="204"/>
      <c r="BC212" s="204"/>
      <c r="BD212" s="204"/>
      <c r="BE212" s="204"/>
      <c r="BF212" s="204"/>
      <c r="BG212" s="204"/>
      <c r="BH212" s="204"/>
      <c r="BI212" s="204"/>
      <c r="BJ212" s="204"/>
      <c r="BK212" s="204"/>
      <c r="BL212" s="204"/>
      <c r="BM212" s="204"/>
      <c r="BN212" s="204"/>
      <c r="BO212" s="204"/>
      <c r="BP212" s="204"/>
      <c r="BQ212" s="204"/>
      <c r="BR212" s="204"/>
      <c r="BS212" s="204"/>
      <c r="BT212" s="204"/>
      <c r="BU212" s="204"/>
      <c r="BV212" s="204"/>
      <c r="BW212" s="204"/>
      <c r="BX212" s="204"/>
      <c r="BY212" s="204"/>
      <c r="BZ212" s="204"/>
      <c r="CA212" s="204"/>
      <c r="CB212" s="207"/>
      <c r="CM212" s="209"/>
    </row>
    <row r="213" ht="15.75" customHeight="1">
      <c r="A213" s="200"/>
      <c r="B213" s="200"/>
      <c r="C213" s="200"/>
      <c r="D213" s="200"/>
      <c r="F213" s="234"/>
      <c r="G213" s="234"/>
      <c r="H213" s="235"/>
      <c r="I213" s="191"/>
      <c r="J213" s="191"/>
      <c r="K213" s="198"/>
      <c r="L213" s="198"/>
      <c r="M213" s="198"/>
      <c r="N213" s="198"/>
      <c r="O213" s="198"/>
      <c r="P213" s="198"/>
      <c r="Q213" s="198"/>
      <c r="S213" s="200"/>
      <c r="W213" s="207"/>
      <c r="AH213" s="204"/>
      <c r="AI213" s="204"/>
      <c r="AJ213" s="204"/>
      <c r="AK213" s="204"/>
      <c r="AL213" s="204"/>
      <c r="AM213" s="204"/>
      <c r="AN213" s="204"/>
      <c r="AX213" s="204"/>
      <c r="AY213" s="204"/>
      <c r="AZ213" s="204"/>
      <c r="BA213" s="204"/>
      <c r="BB213" s="204"/>
      <c r="BC213" s="204"/>
      <c r="BD213" s="204"/>
      <c r="BE213" s="204"/>
      <c r="BF213" s="204"/>
      <c r="BG213" s="204"/>
      <c r="BH213" s="204"/>
      <c r="BI213" s="204"/>
      <c r="BJ213" s="204"/>
      <c r="BK213" s="204"/>
      <c r="BL213" s="204"/>
      <c r="BM213" s="204"/>
      <c r="BN213" s="204"/>
      <c r="BO213" s="204"/>
      <c r="BP213" s="204"/>
      <c r="BQ213" s="204"/>
      <c r="BR213" s="204"/>
      <c r="BS213" s="204"/>
      <c r="BT213" s="204"/>
      <c r="BU213" s="204"/>
      <c r="BV213" s="204"/>
      <c r="BW213" s="204"/>
      <c r="BX213" s="204"/>
      <c r="BY213" s="204"/>
      <c r="BZ213" s="204"/>
      <c r="CA213" s="204"/>
      <c r="CB213" s="207"/>
      <c r="CM213" s="209"/>
    </row>
    <row r="214" ht="15.75" customHeight="1">
      <c r="A214" s="200"/>
      <c r="B214" s="200"/>
      <c r="C214" s="200"/>
      <c r="D214" s="200"/>
      <c r="F214" s="234"/>
      <c r="G214" s="234"/>
      <c r="H214" s="235"/>
      <c r="I214" s="191"/>
      <c r="J214" s="191"/>
      <c r="K214" s="198"/>
      <c r="L214" s="198"/>
      <c r="M214" s="198"/>
      <c r="N214" s="198"/>
      <c r="O214" s="198"/>
      <c r="P214" s="198"/>
      <c r="Q214" s="198"/>
      <c r="S214" s="200"/>
      <c r="W214" s="207"/>
      <c r="AH214" s="204"/>
      <c r="AI214" s="204"/>
      <c r="AJ214" s="204"/>
      <c r="AK214" s="204"/>
      <c r="AL214" s="204"/>
      <c r="AM214" s="204"/>
      <c r="AN214" s="204"/>
      <c r="AX214" s="204"/>
      <c r="AY214" s="204"/>
      <c r="AZ214" s="204"/>
      <c r="BA214" s="204"/>
      <c r="BB214" s="204"/>
      <c r="BC214" s="204"/>
      <c r="BD214" s="204"/>
      <c r="BE214" s="204"/>
      <c r="BF214" s="204"/>
      <c r="BG214" s="204"/>
      <c r="BH214" s="204"/>
      <c r="BI214" s="204"/>
      <c r="BJ214" s="204"/>
      <c r="BK214" s="204"/>
      <c r="BL214" s="204"/>
      <c r="BM214" s="204"/>
      <c r="BN214" s="204"/>
      <c r="BO214" s="204"/>
      <c r="BP214" s="204"/>
      <c r="BQ214" s="204"/>
      <c r="BR214" s="204"/>
      <c r="BS214" s="204"/>
      <c r="BT214" s="204"/>
      <c r="BU214" s="204"/>
      <c r="BV214" s="204"/>
      <c r="BW214" s="204"/>
      <c r="BX214" s="204"/>
      <c r="BY214" s="204"/>
      <c r="BZ214" s="204"/>
      <c r="CA214" s="204"/>
      <c r="CB214" s="207"/>
      <c r="CM214" s="209"/>
    </row>
    <row r="215" ht="15.75" customHeight="1">
      <c r="A215" s="200"/>
      <c r="B215" s="200"/>
      <c r="C215" s="200"/>
      <c r="D215" s="200"/>
      <c r="F215" s="234"/>
      <c r="G215" s="234"/>
      <c r="H215" s="235"/>
      <c r="I215" s="191"/>
      <c r="J215" s="191"/>
      <c r="K215" s="198"/>
      <c r="L215" s="198"/>
      <c r="M215" s="198"/>
      <c r="N215" s="198"/>
      <c r="O215" s="198"/>
      <c r="P215" s="198"/>
      <c r="Q215" s="198"/>
      <c r="S215" s="200"/>
      <c r="W215" s="207"/>
      <c r="AH215" s="204"/>
      <c r="AI215" s="204"/>
      <c r="AJ215" s="204"/>
      <c r="AK215" s="204"/>
      <c r="AL215" s="204"/>
      <c r="AM215" s="204"/>
      <c r="AN215" s="204"/>
      <c r="AX215" s="204"/>
      <c r="AY215" s="204"/>
      <c r="AZ215" s="204"/>
      <c r="BA215" s="204"/>
      <c r="BB215" s="204"/>
      <c r="BC215" s="204"/>
      <c r="BD215" s="204"/>
      <c r="BE215" s="204"/>
      <c r="BF215" s="204"/>
      <c r="BG215" s="204"/>
      <c r="BH215" s="204"/>
      <c r="BI215" s="204"/>
      <c r="BJ215" s="204"/>
      <c r="BK215" s="204"/>
      <c r="BL215" s="204"/>
      <c r="BM215" s="204"/>
      <c r="BN215" s="204"/>
      <c r="BO215" s="204"/>
      <c r="BP215" s="204"/>
      <c r="BQ215" s="204"/>
      <c r="BR215" s="204"/>
      <c r="BS215" s="204"/>
      <c r="BT215" s="204"/>
      <c r="BU215" s="204"/>
      <c r="BV215" s="204"/>
      <c r="BW215" s="204"/>
      <c r="BX215" s="204"/>
      <c r="BY215" s="204"/>
      <c r="BZ215" s="204"/>
      <c r="CA215" s="204"/>
      <c r="CB215" s="207"/>
      <c r="CM215" s="209"/>
    </row>
    <row r="216" ht="15.75" customHeight="1">
      <c r="A216" s="200"/>
      <c r="B216" s="200"/>
      <c r="C216" s="200"/>
      <c r="D216" s="200"/>
      <c r="F216" s="234"/>
      <c r="G216" s="234"/>
      <c r="H216" s="235"/>
      <c r="I216" s="191"/>
      <c r="J216" s="191"/>
      <c r="K216" s="198"/>
      <c r="L216" s="198"/>
      <c r="M216" s="198"/>
      <c r="N216" s="198"/>
      <c r="O216" s="198"/>
      <c r="P216" s="198"/>
      <c r="Q216" s="198"/>
      <c r="S216" s="200"/>
      <c r="W216" s="207"/>
      <c r="AH216" s="204"/>
      <c r="AI216" s="204"/>
      <c r="AJ216" s="204"/>
      <c r="AK216" s="204"/>
      <c r="AL216" s="204"/>
      <c r="AM216" s="204"/>
      <c r="AN216" s="204"/>
      <c r="AX216" s="204"/>
      <c r="AY216" s="204"/>
      <c r="AZ216" s="204"/>
      <c r="BA216" s="204"/>
      <c r="BB216" s="204"/>
      <c r="BC216" s="204"/>
      <c r="BD216" s="204"/>
      <c r="BE216" s="204"/>
      <c r="BF216" s="204"/>
      <c r="BG216" s="204"/>
      <c r="BH216" s="204"/>
      <c r="BI216" s="204"/>
      <c r="BJ216" s="204"/>
      <c r="BK216" s="204"/>
      <c r="BL216" s="204"/>
      <c r="BM216" s="204"/>
      <c r="BN216" s="204"/>
      <c r="BO216" s="204"/>
      <c r="BP216" s="204"/>
      <c r="BQ216" s="204"/>
      <c r="BR216" s="204"/>
      <c r="BS216" s="204"/>
      <c r="BT216" s="204"/>
      <c r="BU216" s="204"/>
      <c r="BV216" s="204"/>
      <c r="BW216" s="204"/>
      <c r="BX216" s="204"/>
      <c r="BY216" s="204"/>
      <c r="BZ216" s="204"/>
      <c r="CA216" s="204"/>
      <c r="CB216" s="207"/>
      <c r="CM216" s="209"/>
    </row>
    <row r="217" ht="15.75" customHeight="1">
      <c r="A217" s="200"/>
      <c r="B217" s="200"/>
      <c r="C217" s="200"/>
      <c r="D217" s="200"/>
      <c r="F217" s="234"/>
      <c r="G217" s="234"/>
      <c r="H217" s="235"/>
      <c r="I217" s="191"/>
      <c r="J217" s="191"/>
      <c r="K217" s="198"/>
      <c r="L217" s="198"/>
      <c r="M217" s="198"/>
      <c r="N217" s="198"/>
      <c r="O217" s="198"/>
      <c r="P217" s="198"/>
      <c r="Q217" s="198"/>
      <c r="S217" s="200"/>
      <c r="W217" s="207"/>
      <c r="AH217" s="204"/>
      <c r="AI217" s="204"/>
      <c r="AJ217" s="204"/>
      <c r="AK217" s="204"/>
      <c r="AL217" s="204"/>
      <c r="AM217" s="204"/>
      <c r="AN217" s="204"/>
      <c r="AX217" s="204"/>
      <c r="AY217" s="204"/>
      <c r="AZ217" s="204"/>
      <c r="BA217" s="204"/>
      <c r="BB217" s="204"/>
      <c r="BC217" s="204"/>
      <c r="BD217" s="204"/>
      <c r="BE217" s="204"/>
      <c r="BF217" s="204"/>
      <c r="BG217" s="204"/>
      <c r="BH217" s="204"/>
      <c r="BI217" s="204"/>
      <c r="BJ217" s="204"/>
      <c r="BK217" s="204"/>
      <c r="BL217" s="204"/>
      <c r="BM217" s="204"/>
      <c r="BN217" s="204"/>
      <c r="BO217" s="204"/>
      <c r="BP217" s="204"/>
      <c r="BQ217" s="204"/>
      <c r="BR217" s="204"/>
      <c r="BS217" s="204"/>
      <c r="BT217" s="204"/>
      <c r="BU217" s="204"/>
      <c r="BV217" s="204"/>
      <c r="BW217" s="204"/>
      <c r="BX217" s="204"/>
      <c r="BY217" s="204"/>
      <c r="BZ217" s="204"/>
      <c r="CA217" s="204"/>
      <c r="CB217" s="207"/>
      <c r="CM217" s="209"/>
    </row>
    <row r="218" ht="15.75" customHeight="1">
      <c r="A218" s="200"/>
      <c r="B218" s="200"/>
      <c r="C218" s="200"/>
      <c r="D218" s="200"/>
      <c r="F218" s="234"/>
      <c r="G218" s="234"/>
      <c r="H218" s="235"/>
      <c r="I218" s="191"/>
      <c r="J218" s="191"/>
      <c r="K218" s="198"/>
      <c r="L218" s="198"/>
      <c r="M218" s="198"/>
      <c r="N218" s="198"/>
      <c r="O218" s="198"/>
      <c r="P218" s="198"/>
      <c r="Q218" s="198"/>
      <c r="S218" s="200"/>
      <c r="W218" s="207"/>
      <c r="AH218" s="204"/>
      <c r="AI218" s="204"/>
      <c r="AJ218" s="204"/>
      <c r="AK218" s="204"/>
      <c r="AL218" s="204"/>
      <c r="AM218" s="204"/>
      <c r="AN218" s="204"/>
      <c r="AX218" s="204"/>
      <c r="AY218" s="204"/>
      <c r="AZ218" s="204"/>
      <c r="BA218" s="204"/>
      <c r="BB218" s="204"/>
      <c r="BC218" s="204"/>
      <c r="BD218" s="204"/>
      <c r="BE218" s="204"/>
      <c r="BF218" s="204"/>
      <c r="BG218" s="204"/>
      <c r="BH218" s="204"/>
      <c r="BI218" s="204"/>
      <c r="BJ218" s="204"/>
      <c r="BK218" s="204"/>
      <c r="BL218" s="204"/>
      <c r="BM218" s="204"/>
      <c r="BN218" s="204"/>
      <c r="BO218" s="204"/>
      <c r="BP218" s="204"/>
      <c r="BQ218" s="204"/>
      <c r="BR218" s="204"/>
      <c r="BS218" s="204"/>
      <c r="BT218" s="204"/>
      <c r="BU218" s="204"/>
      <c r="BV218" s="204"/>
      <c r="BW218" s="204"/>
      <c r="BX218" s="204"/>
      <c r="BY218" s="204"/>
      <c r="BZ218" s="204"/>
      <c r="CA218" s="204"/>
      <c r="CB218" s="207"/>
      <c r="CM218" s="209"/>
    </row>
    <row r="219" ht="15.75" customHeight="1">
      <c r="A219" s="200"/>
      <c r="B219" s="200"/>
      <c r="C219" s="200"/>
      <c r="D219" s="200"/>
      <c r="F219" s="234"/>
      <c r="G219" s="234"/>
      <c r="H219" s="235"/>
      <c r="I219" s="191"/>
      <c r="J219" s="191"/>
      <c r="K219" s="198"/>
      <c r="L219" s="198"/>
      <c r="M219" s="198"/>
      <c r="N219" s="198"/>
      <c r="O219" s="198"/>
      <c r="P219" s="198"/>
      <c r="Q219" s="198"/>
      <c r="S219" s="200"/>
      <c r="W219" s="207"/>
      <c r="AH219" s="204"/>
      <c r="AI219" s="204"/>
      <c r="AJ219" s="204"/>
      <c r="AK219" s="204"/>
      <c r="AL219" s="204"/>
      <c r="AM219" s="204"/>
      <c r="AN219" s="204"/>
      <c r="AX219" s="204"/>
      <c r="AY219" s="204"/>
      <c r="AZ219" s="204"/>
      <c r="BA219" s="204"/>
      <c r="BB219" s="204"/>
      <c r="BC219" s="204"/>
      <c r="BD219" s="204"/>
      <c r="BE219" s="204"/>
      <c r="BF219" s="204"/>
      <c r="BG219" s="204"/>
      <c r="BH219" s="204"/>
      <c r="BI219" s="204"/>
      <c r="BJ219" s="204"/>
      <c r="BK219" s="204"/>
      <c r="BL219" s="204"/>
      <c r="BM219" s="204"/>
      <c r="BN219" s="204"/>
      <c r="BO219" s="204"/>
      <c r="BP219" s="204"/>
      <c r="BQ219" s="204"/>
      <c r="BR219" s="204"/>
      <c r="BS219" s="204"/>
      <c r="BT219" s="204"/>
      <c r="BU219" s="204"/>
      <c r="BV219" s="204"/>
      <c r="BW219" s="204"/>
      <c r="BX219" s="204"/>
      <c r="BY219" s="204"/>
      <c r="BZ219" s="204"/>
      <c r="CA219" s="204"/>
      <c r="CB219" s="207"/>
      <c r="CM219" s="209"/>
    </row>
    <row r="220" ht="15.75" customHeight="1">
      <c r="A220" s="200"/>
      <c r="B220" s="200"/>
      <c r="C220" s="200"/>
      <c r="D220" s="200"/>
      <c r="F220" s="234"/>
      <c r="G220" s="234"/>
      <c r="H220" s="235"/>
      <c r="I220" s="191"/>
      <c r="J220" s="191"/>
      <c r="K220" s="198"/>
      <c r="L220" s="198"/>
      <c r="M220" s="198"/>
      <c r="N220" s="198"/>
      <c r="O220" s="198"/>
      <c r="P220" s="198"/>
      <c r="Q220" s="198"/>
      <c r="S220" s="200"/>
      <c r="W220" s="207"/>
      <c r="AH220" s="204"/>
      <c r="AI220" s="204"/>
      <c r="AJ220" s="204"/>
      <c r="AK220" s="204"/>
      <c r="AL220" s="204"/>
      <c r="AM220" s="204"/>
      <c r="AN220" s="204"/>
      <c r="AX220" s="204"/>
      <c r="AY220" s="204"/>
      <c r="AZ220" s="204"/>
      <c r="BA220" s="204"/>
      <c r="BB220" s="204"/>
      <c r="BC220" s="204"/>
      <c r="BD220" s="204"/>
      <c r="BE220" s="204"/>
      <c r="BF220" s="204"/>
      <c r="BG220" s="204"/>
      <c r="BH220" s="204"/>
      <c r="BI220" s="204"/>
      <c r="BJ220" s="204"/>
      <c r="BK220" s="204"/>
      <c r="BL220" s="204"/>
      <c r="BM220" s="204"/>
      <c r="BN220" s="204"/>
      <c r="BO220" s="204"/>
      <c r="BP220" s="204"/>
      <c r="BQ220" s="204"/>
      <c r="BR220" s="204"/>
      <c r="BS220" s="204"/>
      <c r="BT220" s="204"/>
      <c r="BU220" s="204"/>
      <c r="BV220" s="204"/>
      <c r="BW220" s="204"/>
      <c r="BX220" s="204"/>
      <c r="BY220" s="204"/>
      <c r="BZ220" s="204"/>
      <c r="CA220" s="204"/>
      <c r="CB220" s="207"/>
      <c r="CM220" s="209"/>
    </row>
    <row r="221" ht="15.75" customHeight="1">
      <c r="A221" s="200"/>
      <c r="B221" s="200"/>
      <c r="C221" s="200"/>
      <c r="D221" s="200"/>
      <c r="F221" s="234"/>
      <c r="G221" s="234"/>
      <c r="H221" s="235"/>
      <c r="I221" s="191"/>
      <c r="J221" s="191"/>
      <c r="K221" s="198"/>
      <c r="L221" s="198"/>
      <c r="M221" s="198"/>
      <c r="N221" s="198"/>
      <c r="O221" s="198"/>
      <c r="P221" s="198"/>
      <c r="Q221" s="198"/>
      <c r="S221" s="200"/>
      <c r="W221" s="207"/>
      <c r="AH221" s="204"/>
      <c r="AI221" s="204"/>
      <c r="AJ221" s="204"/>
      <c r="AK221" s="204"/>
      <c r="AL221" s="204"/>
      <c r="AM221" s="204"/>
      <c r="AN221" s="204"/>
      <c r="AX221" s="204"/>
      <c r="AY221" s="204"/>
      <c r="AZ221" s="204"/>
      <c r="BA221" s="204"/>
      <c r="BB221" s="204"/>
      <c r="BC221" s="204"/>
      <c r="BD221" s="204"/>
      <c r="BE221" s="204"/>
      <c r="BF221" s="204"/>
      <c r="BG221" s="204"/>
      <c r="BH221" s="204"/>
      <c r="BI221" s="204"/>
      <c r="BJ221" s="204"/>
      <c r="BK221" s="204"/>
      <c r="BL221" s="204"/>
      <c r="BM221" s="204"/>
      <c r="BN221" s="204"/>
      <c r="BO221" s="204"/>
      <c r="BP221" s="204"/>
      <c r="BQ221" s="204"/>
      <c r="BR221" s="204"/>
      <c r="BS221" s="204"/>
      <c r="BT221" s="204"/>
      <c r="BU221" s="204"/>
      <c r="BV221" s="204"/>
      <c r="BW221" s="204"/>
      <c r="BX221" s="204"/>
      <c r="BY221" s="204"/>
      <c r="BZ221" s="204"/>
      <c r="CA221" s="204"/>
      <c r="CB221" s="207"/>
      <c r="CM221" s="209"/>
    </row>
    <row r="222" ht="15.75" customHeight="1">
      <c r="A222" s="200"/>
      <c r="B222" s="200"/>
      <c r="C222" s="200"/>
      <c r="D222" s="200"/>
      <c r="F222" s="234"/>
      <c r="G222" s="234"/>
      <c r="H222" s="235"/>
      <c r="I222" s="191"/>
      <c r="J222" s="191"/>
      <c r="K222" s="198"/>
      <c r="L222" s="198"/>
      <c r="M222" s="198"/>
      <c r="N222" s="198"/>
      <c r="O222" s="198"/>
      <c r="P222" s="198"/>
      <c r="Q222" s="198"/>
      <c r="S222" s="200"/>
      <c r="W222" s="207"/>
      <c r="AH222" s="204"/>
      <c r="AI222" s="204"/>
      <c r="AJ222" s="204"/>
      <c r="AK222" s="204"/>
      <c r="AL222" s="204"/>
      <c r="AM222" s="204"/>
      <c r="AN222" s="204"/>
      <c r="AX222" s="204"/>
      <c r="AY222" s="204"/>
      <c r="AZ222" s="204"/>
      <c r="BA222" s="204"/>
      <c r="BB222" s="204"/>
      <c r="BC222" s="204"/>
      <c r="BD222" s="204"/>
      <c r="BE222" s="204"/>
      <c r="BF222" s="204"/>
      <c r="BG222" s="204"/>
      <c r="BH222" s="204"/>
      <c r="BI222" s="204"/>
      <c r="BJ222" s="204"/>
      <c r="BK222" s="204"/>
      <c r="BL222" s="204"/>
      <c r="BM222" s="204"/>
      <c r="BN222" s="204"/>
      <c r="BO222" s="204"/>
      <c r="BP222" s="204"/>
      <c r="BQ222" s="204"/>
      <c r="BR222" s="204"/>
      <c r="BS222" s="204"/>
      <c r="BT222" s="204"/>
      <c r="BU222" s="204"/>
      <c r="BV222" s="204"/>
      <c r="BW222" s="204"/>
      <c r="BX222" s="204"/>
      <c r="BY222" s="204"/>
      <c r="BZ222" s="204"/>
      <c r="CA222" s="204"/>
      <c r="CB222" s="207"/>
      <c r="CM222" s="209"/>
    </row>
    <row r="223" ht="15.75" customHeight="1">
      <c r="A223" s="200"/>
      <c r="B223" s="200"/>
      <c r="C223" s="200"/>
      <c r="D223" s="200"/>
      <c r="F223" s="234"/>
      <c r="G223" s="234"/>
      <c r="H223" s="235"/>
      <c r="I223" s="191"/>
      <c r="J223" s="191"/>
      <c r="K223" s="198"/>
      <c r="L223" s="198"/>
      <c r="M223" s="198"/>
      <c r="N223" s="198"/>
      <c r="O223" s="198"/>
      <c r="P223" s="198"/>
      <c r="Q223" s="198"/>
      <c r="S223" s="200"/>
      <c r="W223" s="207"/>
      <c r="AH223" s="204"/>
      <c r="AI223" s="204"/>
      <c r="AJ223" s="204"/>
      <c r="AK223" s="204"/>
      <c r="AL223" s="204"/>
      <c r="AM223" s="204"/>
      <c r="AN223" s="204"/>
      <c r="AX223" s="204"/>
      <c r="AY223" s="204"/>
      <c r="AZ223" s="204"/>
      <c r="BA223" s="204"/>
      <c r="BB223" s="204"/>
      <c r="BC223" s="204"/>
      <c r="BD223" s="204"/>
      <c r="BE223" s="204"/>
      <c r="BF223" s="204"/>
      <c r="BG223" s="204"/>
      <c r="BH223" s="204"/>
      <c r="BI223" s="204"/>
      <c r="BJ223" s="204"/>
      <c r="BK223" s="204"/>
      <c r="BL223" s="204"/>
      <c r="BM223" s="204"/>
      <c r="BN223" s="204"/>
      <c r="BO223" s="204"/>
      <c r="BP223" s="204"/>
      <c r="BQ223" s="204"/>
      <c r="BR223" s="204"/>
      <c r="BS223" s="204"/>
      <c r="BT223" s="204"/>
      <c r="BU223" s="204"/>
      <c r="BV223" s="204"/>
      <c r="BW223" s="204"/>
      <c r="BX223" s="204"/>
      <c r="BY223" s="204"/>
      <c r="BZ223" s="204"/>
      <c r="CA223" s="204"/>
      <c r="CB223" s="207"/>
      <c r="CM223" s="209"/>
    </row>
    <row r="224" ht="15.75" customHeight="1">
      <c r="A224" s="200"/>
      <c r="B224" s="200"/>
      <c r="C224" s="200"/>
      <c r="D224" s="200"/>
      <c r="F224" s="234"/>
      <c r="G224" s="234"/>
      <c r="H224" s="235"/>
      <c r="I224" s="191"/>
      <c r="J224" s="191"/>
      <c r="K224" s="198"/>
      <c r="L224" s="198"/>
      <c r="M224" s="198"/>
      <c r="N224" s="198"/>
      <c r="O224" s="198"/>
      <c r="P224" s="198"/>
      <c r="Q224" s="198"/>
      <c r="S224" s="200"/>
      <c r="W224" s="207"/>
      <c r="AH224" s="204"/>
      <c r="AI224" s="204"/>
      <c r="AJ224" s="204"/>
      <c r="AK224" s="204"/>
      <c r="AL224" s="204"/>
      <c r="AM224" s="204"/>
      <c r="AN224" s="204"/>
      <c r="AX224" s="204"/>
      <c r="AY224" s="204"/>
      <c r="AZ224" s="204"/>
      <c r="BA224" s="204"/>
      <c r="BB224" s="204"/>
      <c r="BC224" s="204"/>
      <c r="BD224" s="204"/>
      <c r="BE224" s="204"/>
      <c r="BF224" s="204"/>
      <c r="BG224" s="204"/>
      <c r="BH224" s="204"/>
      <c r="BI224" s="204"/>
      <c r="BJ224" s="204"/>
      <c r="BK224" s="204"/>
      <c r="BL224" s="204"/>
      <c r="BM224" s="204"/>
      <c r="BN224" s="204"/>
      <c r="BO224" s="204"/>
      <c r="BP224" s="204"/>
      <c r="BQ224" s="204"/>
      <c r="BR224" s="204"/>
      <c r="BS224" s="204"/>
      <c r="BT224" s="204"/>
      <c r="BU224" s="204"/>
      <c r="BV224" s="204"/>
      <c r="BW224" s="204"/>
      <c r="BX224" s="204"/>
      <c r="BY224" s="204"/>
      <c r="BZ224" s="204"/>
      <c r="CA224" s="204"/>
      <c r="CB224" s="207"/>
      <c r="CM224" s="209"/>
    </row>
    <row r="225" ht="15.75" customHeight="1">
      <c r="A225" s="200"/>
      <c r="B225" s="200"/>
      <c r="C225" s="200"/>
      <c r="D225" s="200"/>
      <c r="F225" s="234"/>
      <c r="G225" s="234"/>
      <c r="H225" s="235"/>
      <c r="I225" s="191"/>
      <c r="J225" s="191"/>
      <c r="K225" s="198"/>
      <c r="L225" s="198"/>
      <c r="M225" s="198"/>
      <c r="N225" s="198"/>
      <c r="O225" s="198"/>
      <c r="P225" s="198"/>
      <c r="Q225" s="198"/>
      <c r="S225" s="200"/>
      <c r="W225" s="207"/>
      <c r="AH225" s="204"/>
      <c r="AI225" s="204"/>
      <c r="AJ225" s="204"/>
      <c r="AK225" s="204"/>
      <c r="AL225" s="204"/>
      <c r="AM225" s="204"/>
      <c r="AN225" s="204"/>
      <c r="AX225" s="204"/>
      <c r="AY225" s="204"/>
      <c r="AZ225" s="204"/>
      <c r="BA225" s="204"/>
      <c r="BB225" s="204"/>
      <c r="BC225" s="204"/>
      <c r="BD225" s="204"/>
      <c r="BE225" s="204"/>
      <c r="BF225" s="204"/>
      <c r="BG225" s="204"/>
      <c r="BH225" s="204"/>
      <c r="BI225" s="204"/>
      <c r="BJ225" s="204"/>
      <c r="BK225" s="204"/>
      <c r="BL225" s="204"/>
      <c r="BM225" s="204"/>
      <c r="BN225" s="204"/>
      <c r="BO225" s="204"/>
      <c r="BP225" s="204"/>
      <c r="BQ225" s="204"/>
      <c r="BR225" s="204"/>
      <c r="BS225" s="204"/>
      <c r="BT225" s="204"/>
      <c r="BU225" s="204"/>
      <c r="BV225" s="204"/>
      <c r="BW225" s="204"/>
      <c r="BX225" s="204"/>
      <c r="BY225" s="204"/>
      <c r="BZ225" s="204"/>
      <c r="CA225" s="204"/>
      <c r="CB225" s="207"/>
      <c r="CM225" s="209"/>
    </row>
    <row r="226" ht="15.75" customHeight="1">
      <c r="A226" s="200"/>
      <c r="B226" s="200"/>
      <c r="C226" s="200"/>
      <c r="D226" s="200"/>
      <c r="F226" s="234"/>
      <c r="G226" s="234"/>
      <c r="H226" s="235"/>
      <c r="I226" s="191"/>
      <c r="J226" s="191"/>
      <c r="K226" s="198"/>
      <c r="L226" s="198"/>
      <c r="M226" s="198"/>
      <c r="N226" s="198"/>
      <c r="O226" s="198"/>
      <c r="P226" s="198"/>
      <c r="Q226" s="198"/>
      <c r="S226" s="200"/>
      <c r="W226" s="207"/>
      <c r="AH226" s="204"/>
      <c r="AI226" s="204"/>
      <c r="AJ226" s="204"/>
      <c r="AK226" s="204"/>
      <c r="AL226" s="204"/>
      <c r="AM226" s="204"/>
      <c r="AN226" s="204"/>
      <c r="AX226" s="204"/>
      <c r="AY226" s="204"/>
      <c r="AZ226" s="204"/>
      <c r="BA226" s="204"/>
      <c r="BB226" s="204"/>
      <c r="BC226" s="204"/>
      <c r="BD226" s="204"/>
      <c r="BE226" s="204"/>
      <c r="BF226" s="204"/>
      <c r="BG226" s="204"/>
      <c r="BH226" s="204"/>
      <c r="BI226" s="204"/>
      <c r="BJ226" s="204"/>
      <c r="BK226" s="204"/>
      <c r="BL226" s="204"/>
      <c r="BM226" s="204"/>
      <c r="BN226" s="204"/>
      <c r="BO226" s="204"/>
      <c r="BP226" s="204"/>
      <c r="BQ226" s="204"/>
      <c r="BR226" s="204"/>
      <c r="BS226" s="204"/>
      <c r="BT226" s="204"/>
      <c r="BU226" s="204"/>
      <c r="BV226" s="204"/>
      <c r="BW226" s="204"/>
      <c r="BX226" s="204"/>
      <c r="BY226" s="204"/>
      <c r="BZ226" s="204"/>
      <c r="CA226" s="204"/>
      <c r="CB226" s="207"/>
      <c r="CM226" s="209"/>
    </row>
    <row r="227" ht="15.75" customHeight="1">
      <c r="A227" s="200"/>
      <c r="B227" s="200"/>
      <c r="C227" s="200"/>
      <c r="D227" s="200"/>
      <c r="F227" s="234"/>
      <c r="G227" s="234"/>
      <c r="H227" s="235"/>
      <c r="I227" s="191"/>
      <c r="J227" s="191"/>
      <c r="K227" s="198"/>
      <c r="L227" s="198"/>
      <c r="M227" s="198"/>
      <c r="N227" s="198"/>
      <c r="O227" s="198"/>
      <c r="P227" s="198"/>
      <c r="Q227" s="198"/>
      <c r="S227" s="200"/>
      <c r="W227" s="207"/>
      <c r="AH227" s="204"/>
      <c r="AI227" s="204"/>
      <c r="AJ227" s="204"/>
      <c r="AK227" s="204"/>
      <c r="AL227" s="204"/>
      <c r="AM227" s="204"/>
      <c r="AN227" s="204"/>
      <c r="AX227" s="204"/>
      <c r="AY227" s="204"/>
      <c r="AZ227" s="204"/>
      <c r="BA227" s="204"/>
      <c r="BB227" s="204"/>
      <c r="BC227" s="204"/>
      <c r="BD227" s="204"/>
      <c r="BE227" s="204"/>
      <c r="BF227" s="204"/>
      <c r="BG227" s="204"/>
      <c r="BH227" s="204"/>
      <c r="BI227" s="204"/>
      <c r="BJ227" s="204"/>
      <c r="BK227" s="204"/>
      <c r="BL227" s="204"/>
      <c r="BM227" s="204"/>
      <c r="BN227" s="204"/>
      <c r="BO227" s="204"/>
      <c r="BP227" s="204"/>
      <c r="BQ227" s="204"/>
      <c r="BR227" s="204"/>
      <c r="BS227" s="204"/>
      <c r="BT227" s="204"/>
      <c r="BU227" s="204"/>
      <c r="BV227" s="204"/>
      <c r="BW227" s="204"/>
      <c r="BX227" s="204"/>
      <c r="BY227" s="204"/>
      <c r="BZ227" s="204"/>
      <c r="CA227" s="204"/>
      <c r="CB227" s="207"/>
      <c r="CM227" s="209"/>
    </row>
    <row r="228" ht="15.75" customHeight="1">
      <c r="A228" s="200"/>
      <c r="B228" s="200"/>
      <c r="C228" s="200"/>
      <c r="D228" s="200"/>
      <c r="F228" s="234"/>
      <c r="G228" s="234"/>
      <c r="H228" s="235"/>
      <c r="I228" s="191"/>
      <c r="J228" s="191"/>
      <c r="K228" s="198"/>
      <c r="L228" s="198"/>
      <c r="M228" s="198"/>
      <c r="N228" s="198"/>
      <c r="O228" s="198"/>
      <c r="P228" s="198"/>
      <c r="Q228" s="198"/>
      <c r="S228" s="200"/>
      <c r="W228" s="207"/>
      <c r="AH228" s="204"/>
      <c r="AI228" s="204"/>
      <c r="AJ228" s="204"/>
      <c r="AK228" s="204"/>
      <c r="AL228" s="204"/>
      <c r="AM228" s="204"/>
      <c r="AN228" s="204"/>
      <c r="AX228" s="204"/>
      <c r="AY228" s="204"/>
      <c r="AZ228" s="204"/>
      <c r="BA228" s="204"/>
      <c r="BB228" s="204"/>
      <c r="BC228" s="204"/>
      <c r="BD228" s="204"/>
      <c r="BE228" s="204"/>
      <c r="BF228" s="204"/>
      <c r="BG228" s="204"/>
      <c r="BH228" s="204"/>
      <c r="BI228" s="204"/>
      <c r="BJ228" s="204"/>
      <c r="BK228" s="204"/>
      <c r="BL228" s="204"/>
      <c r="BM228" s="204"/>
      <c r="BN228" s="204"/>
      <c r="BO228" s="204"/>
      <c r="BP228" s="204"/>
      <c r="BQ228" s="204"/>
      <c r="BR228" s="204"/>
      <c r="BS228" s="204"/>
      <c r="BT228" s="204"/>
      <c r="BU228" s="204"/>
      <c r="BV228" s="204"/>
      <c r="BW228" s="204"/>
      <c r="BX228" s="204"/>
      <c r="BY228" s="204"/>
      <c r="BZ228" s="204"/>
      <c r="CA228" s="204"/>
      <c r="CB228" s="207"/>
      <c r="CM228" s="209"/>
    </row>
    <row r="229" ht="15.75" customHeight="1">
      <c r="A229" s="200"/>
      <c r="B229" s="200"/>
      <c r="C229" s="200"/>
      <c r="D229" s="200"/>
      <c r="F229" s="234"/>
      <c r="G229" s="234"/>
      <c r="H229" s="235"/>
      <c r="I229" s="191"/>
      <c r="J229" s="191"/>
      <c r="K229" s="198"/>
      <c r="L229" s="198"/>
      <c r="M229" s="198"/>
      <c r="N229" s="198"/>
      <c r="O229" s="198"/>
      <c r="P229" s="198"/>
      <c r="Q229" s="198"/>
      <c r="S229" s="200"/>
      <c r="W229" s="207"/>
      <c r="AH229" s="204"/>
      <c r="AI229" s="204"/>
      <c r="AJ229" s="204"/>
      <c r="AK229" s="204"/>
      <c r="AL229" s="204"/>
      <c r="AM229" s="204"/>
      <c r="AN229" s="204"/>
      <c r="AX229" s="204"/>
      <c r="AY229" s="204"/>
      <c r="AZ229" s="204"/>
      <c r="BA229" s="204"/>
      <c r="BB229" s="204"/>
      <c r="BC229" s="204"/>
      <c r="BD229" s="204"/>
      <c r="BE229" s="204"/>
      <c r="BF229" s="204"/>
      <c r="BG229" s="204"/>
      <c r="BH229" s="204"/>
      <c r="BI229" s="204"/>
      <c r="BJ229" s="204"/>
      <c r="BK229" s="204"/>
      <c r="BL229" s="204"/>
      <c r="BM229" s="204"/>
      <c r="BN229" s="204"/>
      <c r="BO229" s="204"/>
      <c r="BP229" s="204"/>
      <c r="BQ229" s="204"/>
      <c r="BR229" s="204"/>
      <c r="BS229" s="204"/>
      <c r="BT229" s="204"/>
      <c r="BU229" s="204"/>
      <c r="BV229" s="204"/>
      <c r="BW229" s="204"/>
      <c r="BX229" s="204"/>
      <c r="BY229" s="204"/>
      <c r="BZ229" s="204"/>
      <c r="CA229" s="204"/>
      <c r="CB229" s="207"/>
      <c r="CM229" s="209"/>
    </row>
    <row r="230" ht="15.75" customHeight="1">
      <c r="A230" s="200"/>
      <c r="B230" s="200"/>
      <c r="C230" s="200"/>
      <c r="D230" s="200"/>
      <c r="F230" s="234"/>
      <c r="G230" s="234"/>
      <c r="H230" s="235"/>
      <c r="I230" s="191"/>
      <c r="J230" s="191"/>
      <c r="K230" s="198"/>
      <c r="L230" s="198"/>
      <c r="M230" s="198"/>
      <c r="N230" s="198"/>
      <c r="O230" s="198"/>
      <c r="P230" s="198"/>
      <c r="Q230" s="198"/>
      <c r="S230" s="200"/>
      <c r="W230" s="207"/>
      <c r="AH230" s="204"/>
      <c r="AI230" s="204"/>
      <c r="AJ230" s="204"/>
      <c r="AK230" s="204"/>
      <c r="AL230" s="204"/>
      <c r="AM230" s="204"/>
      <c r="AN230" s="204"/>
      <c r="AX230" s="204"/>
      <c r="AY230" s="204"/>
      <c r="AZ230" s="204"/>
      <c r="BA230" s="204"/>
      <c r="BB230" s="204"/>
      <c r="BC230" s="204"/>
      <c r="BD230" s="204"/>
      <c r="BE230" s="204"/>
      <c r="BF230" s="204"/>
      <c r="BG230" s="204"/>
      <c r="BH230" s="204"/>
      <c r="BI230" s="204"/>
      <c r="BJ230" s="204"/>
      <c r="BK230" s="204"/>
      <c r="BL230" s="204"/>
      <c r="BM230" s="204"/>
      <c r="BN230" s="204"/>
      <c r="BO230" s="204"/>
      <c r="BP230" s="204"/>
      <c r="BQ230" s="204"/>
      <c r="BR230" s="204"/>
      <c r="BS230" s="204"/>
      <c r="BT230" s="204"/>
      <c r="BU230" s="204"/>
      <c r="BV230" s="204"/>
      <c r="BW230" s="204"/>
      <c r="BX230" s="204"/>
      <c r="BY230" s="204"/>
      <c r="BZ230" s="204"/>
      <c r="CA230" s="204"/>
      <c r="CB230" s="207"/>
      <c r="CM230" s="209"/>
    </row>
    <row r="231" ht="15.75" customHeight="1">
      <c r="A231" s="200"/>
      <c r="B231" s="200"/>
      <c r="C231" s="200"/>
      <c r="D231" s="200"/>
      <c r="F231" s="234"/>
      <c r="G231" s="234"/>
      <c r="H231" s="235"/>
      <c r="I231" s="191"/>
      <c r="J231" s="191"/>
      <c r="K231" s="198"/>
      <c r="L231" s="198"/>
      <c r="M231" s="198"/>
      <c r="N231" s="198"/>
      <c r="O231" s="198"/>
      <c r="P231" s="198"/>
      <c r="Q231" s="198"/>
      <c r="S231" s="200"/>
      <c r="W231" s="207"/>
      <c r="AH231" s="204"/>
      <c r="AI231" s="204"/>
      <c r="AJ231" s="204"/>
      <c r="AK231" s="204"/>
      <c r="AL231" s="204"/>
      <c r="AM231" s="204"/>
      <c r="AN231" s="204"/>
      <c r="AX231" s="204"/>
      <c r="AY231" s="204"/>
      <c r="AZ231" s="204"/>
      <c r="BA231" s="204"/>
      <c r="BB231" s="204"/>
      <c r="BC231" s="204"/>
      <c r="BD231" s="204"/>
      <c r="BE231" s="204"/>
      <c r="BF231" s="204"/>
      <c r="BG231" s="204"/>
      <c r="BH231" s="204"/>
      <c r="BI231" s="204"/>
      <c r="BJ231" s="204"/>
      <c r="BK231" s="204"/>
      <c r="BL231" s="204"/>
      <c r="BM231" s="204"/>
      <c r="BN231" s="204"/>
      <c r="BO231" s="204"/>
      <c r="BP231" s="204"/>
      <c r="BQ231" s="204"/>
      <c r="BR231" s="204"/>
      <c r="BS231" s="204"/>
      <c r="BT231" s="204"/>
      <c r="BU231" s="204"/>
      <c r="BV231" s="204"/>
      <c r="BW231" s="204"/>
      <c r="BX231" s="204"/>
      <c r="BY231" s="204"/>
      <c r="BZ231" s="204"/>
      <c r="CA231" s="204"/>
      <c r="CB231" s="207"/>
      <c r="CM231" s="209"/>
    </row>
    <row r="232" ht="15.75" customHeight="1">
      <c r="A232" s="200"/>
      <c r="B232" s="200"/>
      <c r="C232" s="200"/>
      <c r="D232" s="200"/>
      <c r="F232" s="234"/>
      <c r="G232" s="234"/>
      <c r="H232" s="235"/>
      <c r="I232" s="191"/>
      <c r="J232" s="191"/>
      <c r="K232" s="198"/>
      <c r="L232" s="198"/>
      <c r="M232" s="198"/>
      <c r="N232" s="198"/>
      <c r="O232" s="198"/>
      <c r="P232" s="198"/>
      <c r="Q232" s="198"/>
      <c r="S232" s="200"/>
      <c r="W232" s="207"/>
      <c r="AH232" s="204"/>
      <c r="AI232" s="204"/>
      <c r="AJ232" s="204"/>
      <c r="AK232" s="204"/>
      <c r="AL232" s="204"/>
      <c r="AM232" s="204"/>
      <c r="AN232" s="204"/>
      <c r="AX232" s="204"/>
      <c r="AY232" s="204"/>
      <c r="AZ232" s="204"/>
      <c r="BA232" s="204"/>
      <c r="BB232" s="204"/>
      <c r="BC232" s="204"/>
      <c r="BD232" s="204"/>
      <c r="BE232" s="204"/>
      <c r="BF232" s="204"/>
      <c r="BG232" s="204"/>
      <c r="BH232" s="204"/>
      <c r="BI232" s="204"/>
      <c r="BJ232" s="204"/>
      <c r="BK232" s="204"/>
      <c r="BL232" s="204"/>
      <c r="BM232" s="204"/>
      <c r="BN232" s="204"/>
      <c r="BO232" s="204"/>
      <c r="BP232" s="204"/>
      <c r="BQ232" s="204"/>
      <c r="BR232" s="204"/>
      <c r="BS232" s="204"/>
      <c r="BT232" s="204"/>
      <c r="BU232" s="204"/>
      <c r="BV232" s="204"/>
      <c r="BW232" s="204"/>
      <c r="BX232" s="204"/>
      <c r="BY232" s="204"/>
      <c r="BZ232" s="204"/>
      <c r="CA232" s="204"/>
      <c r="CB232" s="207"/>
      <c r="CM232" s="209"/>
    </row>
    <row r="233" ht="15.75" customHeight="1">
      <c r="A233" s="200"/>
      <c r="B233" s="200"/>
      <c r="C233" s="200"/>
      <c r="D233" s="200"/>
      <c r="F233" s="234"/>
      <c r="G233" s="234"/>
      <c r="H233" s="235"/>
      <c r="I233" s="191"/>
      <c r="J233" s="191"/>
      <c r="K233" s="198"/>
      <c r="L233" s="198"/>
      <c r="M233" s="198"/>
      <c r="N233" s="198"/>
      <c r="O233" s="198"/>
      <c r="P233" s="198"/>
      <c r="Q233" s="198"/>
      <c r="S233" s="200"/>
      <c r="W233" s="207"/>
      <c r="AH233" s="204"/>
      <c r="AI233" s="204"/>
      <c r="AJ233" s="204"/>
      <c r="AK233" s="204"/>
      <c r="AL233" s="204"/>
      <c r="AM233" s="204"/>
      <c r="AN233" s="204"/>
      <c r="AX233" s="204"/>
      <c r="AY233" s="204"/>
      <c r="AZ233" s="204"/>
      <c r="BA233" s="204"/>
      <c r="BB233" s="204"/>
      <c r="BC233" s="204"/>
      <c r="BD233" s="204"/>
      <c r="BE233" s="204"/>
      <c r="BF233" s="204"/>
      <c r="BG233" s="204"/>
      <c r="BH233" s="204"/>
      <c r="BI233" s="204"/>
      <c r="BJ233" s="204"/>
      <c r="BK233" s="204"/>
      <c r="BL233" s="204"/>
      <c r="BM233" s="204"/>
      <c r="BN233" s="204"/>
      <c r="BO233" s="204"/>
      <c r="BP233" s="204"/>
      <c r="BQ233" s="204"/>
      <c r="BR233" s="204"/>
      <c r="BS233" s="204"/>
      <c r="BT233" s="204"/>
      <c r="BU233" s="204"/>
      <c r="BV233" s="204"/>
      <c r="BW233" s="204"/>
      <c r="BX233" s="204"/>
      <c r="BY233" s="204"/>
      <c r="BZ233" s="204"/>
      <c r="CA233" s="204"/>
      <c r="CB233" s="207"/>
      <c r="CM233" s="209"/>
    </row>
    <row r="234" ht="15.75" customHeight="1">
      <c r="A234" s="200"/>
      <c r="B234" s="200"/>
      <c r="C234" s="200"/>
      <c r="D234" s="200"/>
      <c r="F234" s="234"/>
      <c r="G234" s="234"/>
      <c r="H234" s="235"/>
      <c r="I234" s="191"/>
      <c r="J234" s="191"/>
      <c r="K234" s="198"/>
      <c r="L234" s="198"/>
      <c r="M234" s="198"/>
      <c r="N234" s="198"/>
      <c r="O234" s="198"/>
      <c r="P234" s="198"/>
      <c r="Q234" s="198"/>
      <c r="S234" s="200"/>
      <c r="W234" s="207"/>
      <c r="AH234" s="204"/>
      <c r="AI234" s="204"/>
      <c r="AJ234" s="204"/>
      <c r="AK234" s="204"/>
      <c r="AL234" s="204"/>
      <c r="AM234" s="204"/>
      <c r="AN234" s="204"/>
      <c r="AX234" s="204"/>
      <c r="AY234" s="204"/>
      <c r="AZ234" s="204"/>
      <c r="BA234" s="204"/>
      <c r="BB234" s="204"/>
      <c r="BC234" s="204"/>
      <c r="BD234" s="204"/>
      <c r="BE234" s="204"/>
      <c r="BF234" s="204"/>
      <c r="BG234" s="204"/>
      <c r="BH234" s="204"/>
      <c r="BI234" s="204"/>
      <c r="BJ234" s="204"/>
      <c r="BK234" s="204"/>
      <c r="BL234" s="204"/>
      <c r="BM234" s="204"/>
      <c r="BN234" s="204"/>
      <c r="BO234" s="204"/>
      <c r="BP234" s="204"/>
      <c r="BQ234" s="204"/>
      <c r="BR234" s="204"/>
      <c r="BS234" s="204"/>
      <c r="BT234" s="204"/>
      <c r="BU234" s="204"/>
      <c r="BV234" s="204"/>
      <c r="BW234" s="204"/>
      <c r="BX234" s="204"/>
      <c r="BY234" s="204"/>
      <c r="BZ234" s="204"/>
      <c r="CA234" s="204"/>
      <c r="CB234" s="207"/>
      <c r="CM234" s="209"/>
    </row>
    <row r="235" ht="15.75" customHeight="1">
      <c r="A235" s="200"/>
      <c r="B235" s="200"/>
      <c r="C235" s="200"/>
      <c r="D235" s="200"/>
      <c r="F235" s="234"/>
      <c r="G235" s="234"/>
      <c r="H235" s="235"/>
      <c r="I235" s="191"/>
      <c r="J235" s="191"/>
      <c r="K235" s="198"/>
      <c r="L235" s="198"/>
      <c r="M235" s="198"/>
      <c r="N235" s="198"/>
      <c r="O235" s="198"/>
      <c r="P235" s="198"/>
      <c r="Q235" s="198"/>
      <c r="S235" s="200"/>
      <c r="W235" s="207"/>
      <c r="AH235" s="204"/>
      <c r="AI235" s="204"/>
      <c r="AJ235" s="204"/>
      <c r="AK235" s="204"/>
      <c r="AL235" s="204"/>
      <c r="AM235" s="204"/>
      <c r="AN235" s="204"/>
      <c r="AX235" s="204"/>
      <c r="AY235" s="204"/>
      <c r="AZ235" s="204"/>
      <c r="BA235" s="204"/>
      <c r="BB235" s="204"/>
      <c r="BC235" s="204"/>
      <c r="BD235" s="204"/>
      <c r="BE235" s="204"/>
      <c r="BF235" s="204"/>
      <c r="BG235" s="204"/>
      <c r="BH235" s="204"/>
      <c r="BI235" s="204"/>
      <c r="BJ235" s="204"/>
      <c r="BK235" s="204"/>
      <c r="BL235" s="204"/>
      <c r="BM235" s="204"/>
      <c r="BN235" s="204"/>
      <c r="BO235" s="204"/>
      <c r="BP235" s="204"/>
      <c r="BQ235" s="204"/>
      <c r="BR235" s="204"/>
      <c r="BS235" s="204"/>
      <c r="BT235" s="204"/>
      <c r="BU235" s="204"/>
      <c r="BV235" s="204"/>
      <c r="BW235" s="204"/>
      <c r="BX235" s="204"/>
      <c r="BY235" s="204"/>
      <c r="BZ235" s="204"/>
      <c r="CA235" s="204"/>
      <c r="CB235" s="207"/>
      <c r="CM235" s="209"/>
    </row>
    <row r="236" ht="15.75" customHeight="1">
      <c r="A236" s="200"/>
      <c r="B236" s="200"/>
      <c r="C236" s="200"/>
      <c r="D236" s="200"/>
      <c r="F236" s="234"/>
      <c r="G236" s="234"/>
      <c r="H236" s="235"/>
      <c r="I236" s="191"/>
      <c r="J236" s="191"/>
      <c r="K236" s="198"/>
      <c r="L236" s="198"/>
      <c r="M236" s="198"/>
      <c r="N236" s="198"/>
      <c r="O236" s="198"/>
      <c r="P236" s="198"/>
      <c r="Q236" s="198"/>
      <c r="S236" s="200"/>
      <c r="W236" s="207"/>
      <c r="AH236" s="204"/>
      <c r="AI236" s="204"/>
      <c r="AJ236" s="204"/>
      <c r="AK236" s="204"/>
      <c r="AL236" s="204"/>
      <c r="AM236" s="204"/>
      <c r="AN236" s="204"/>
      <c r="AX236" s="204"/>
      <c r="AY236" s="204"/>
      <c r="AZ236" s="204"/>
      <c r="BA236" s="204"/>
      <c r="BB236" s="204"/>
      <c r="BC236" s="204"/>
      <c r="BD236" s="204"/>
      <c r="BE236" s="204"/>
      <c r="BF236" s="204"/>
      <c r="BG236" s="204"/>
      <c r="BH236" s="204"/>
      <c r="BI236" s="204"/>
      <c r="BJ236" s="204"/>
      <c r="BK236" s="204"/>
      <c r="BL236" s="204"/>
      <c r="BM236" s="204"/>
      <c r="BN236" s="204"/>
      <c r="BO236" s="204"/>
      <c r="BP236" s="204"/>
      <c r="BQ236" s="204"/>
      <c r="BR236" s="204"/>
      <c r="BS236" s="204"/>
      <c r="BT236" s="204"/>
      <c r="BU236" s="204"/>
      <c r="BV236" s="204"/>
      <c r="BW236" s="204"/>
      <c r="BX236" s="204"/>
      <c r="BY236" s="204"/>
      <c r="BZ236" s="204"/>
      <c r="CA236" s="204"/>
      <c r="CB236" s="207"/>
      <c r="CM236" s="209"/>
    </row>
    <row r="237" ht="15.75" customHeight="1">
      <c r="A237" s="200"/>
      <c r="B237" s="200"/>
      <c r="C237" s="200"/>
      <c r="D237" s="200"/>
      <c r="F237" s="234"/>
      <c r="G237" s="234"/>
      <c r="H237" s="235"/>
      <c r="I237" s="191"/>
      <c r="J237" s="191"/>
      <c r="K237" s="198"/>
      <c r="L237" s="198"/>
      <c r="M237" s="198"/>
      <c r="N237" s="198"/>
      <c r="O237" s="198"/>
      <c r="P237" s="198"/>
      <c r="Q237" s="198"/>
      <c r="S237" s="200"/>
      <c r="W237" s="207"/>
      <c r="AH237" s="204"/>
      <c r="AI237" s="204"/>
      <c r="AJ237" s="204"/>
      <c r="AK237" s="204"/>
      <c r="AL237" s="204"/>
      <c r="AM237" s="204"/>
      <c r="AN237" s="204"/>
      <c r="AX237" s="204"/>
      <c r="AY237" s="204"/>
      <c r="AZ237" s="204"/>
      <c r="BA237" s="204"/>
      <c r="BB237" s="204"/>
      <c r="BC237" s="204"/>
      <c r="BD237" s="204"/>
      <c r="BE237" s="204"/>
      <c r="BF237" s="204"/>
      <c r="BG237" s="204"/>
      <c r="BH237" s="204"/>
      <c r="BI237" s="204"/>
      <c r="BJ237" s="204"/>
      <c r="BK237" s="204"/>
      <c r="BL237" s="204"/>
      <c r="BM237" s="204"/>
      <c r="BN237" s="204"/>
      <c r="BO237" s="204"/>
      <c r="BP237" s="204"/>
      <c r="BQ237" s="204"/>
      <c r="BR237" s="204"/>
      <c r="BS237" s="204"/>
      <c r="BT237" s="204"/>
      <c r="BU237" s="204"/>
      <c r="BV237" s="204"/>
      <c r="BW237" s="204"/>
      <c r="BX237" s="204"/>
      <c r="BY237" s="204"/>
      <c r="BZ237" s="204"/>
      <c r="CA237" s="204"/>
      <c r="CB237" s="207"/>
      <c r="CM237" s="209"/>
    </row>
    <row r="238" ht="15.75" customHeight="1">
      <c r="A238" s="200"/>
      <c r="B238" s="200"/>
      <c r="C238" s="200"/>
      <c r="D238" s="200"/>
      <c r="F238" s="234"/>
      <c r="G238" s="234"/>
      <c r="H238" s="235"/>
      <c r="I238" s="191"/>
      <c r="J238" s="191"/>
      <c r="K238" s="198"/>
      <c r="L238" s="198"/>
      <c r="M238" s="198"/>
      <c r="N238" s="198"/>
      <c r="O238" s="198"/>
      <c r="P238" s="198"/>
      <c r="Q238" s="198"/>
      <c r="S238" s="200"/>
      <c r="W238" s="207"/>
      <c r="AH238" s="204"/>
      <c r="AI238" s="204"/>
      <c r="AJ238" s="204"/>
      <c r="AK238" s="204"/>
      <c r="AL238" s="204"/>
      <c r="AM238" s="204"/>
      <c r="AN238" s="204"/>
      <c r="AX238" s="204"/>
      <c r="AY238" s="204"/>
      <c r="AZ238" s="204"/>
      <c r="BA238" s="204"/>
      <c r="BB238" s="204"/>
      <c r="BC238" s="204"/>
      <c r="BD238" s="204"/>
      <c r="BE238" s="204"/>
      <c r="BF238" s="204"/>
      <c r="BG238" s="204"/>
      <c r="BH238" s="204"/>
      <c r="BI238" s="204"/>
      <c r="BJ238" s="204"/>
      <c r="BK238" s="204"/>
      <c r="BL238" s="204"/>
      <c r="BM238" s="204"/>
      <c r="BN238" s="204"/>
      <c r="BO238" s="204"/>
      <c r="BP238" s="204"/>
      <c r="BQ238" s="204"/>
      <c r="BR238" s="204"/>
      <c r="BS238" s="204"/>
      <c r="BT238" s="204"/>
      <c r="BU238" s="204"/>
      <c r="BV238" s="204"/>
      <c r="BW238" s="204"/>
      <c r="BX238" s="204"/>
      <c r="BY238" s="204"/>
      <c r="BZ238" s="204"/>
      <c r="CA238" s="204"/>
      <c r="CB238" s="207"/>
      <c r="CM238" s="209"/>
    </row>
    <row r="239" ht="15.75" customHeight="1">
      <c r="A239" s="200"/>
      <c r="B239" s="200"/>
      <c r="C239" s="200"/>
      <c r="D239" s="200"/>
      <c r="F239" s="234"/>
      <c r="G239" s="234"/>
      <c r="H239" s="235"/>
      <c r="I239" s="191"/>
      <c r="J239" s="191"/>
      <c r="K239" s="198"/>
      <c r="L239" s="198"/>
      <c r="M239" s="198"/>
      <c r="N239" s="198"/>
      <c r="O239" s="198"/>
      <c r="P239" s="198"/>
      <c r="Q239" s="198"/>
      <c r="S239" s="200"/>
      <c r="W239" s="207"/>
      <c r="AH239" s="204"/>
      <c r="AI239" s="204"/>
      <c r="AJ239" s="204"/>
      <c r="AK239" s="204"/>
      <c r="AL239" s="204"/>
      <c r="AM239" s="204"/>
      <c r="AN239" s="204"/>
      <c r="AX239" s="204"/>
      <c r="AY239" s="204"/>
      <c r="AZ239" s="204"/>
      <c r="BA239" s="204"/>
      <c r="BB239" s="204"/>
      <c r="BC239" s="204"/>
      <c r="BD239" s="204"/>
      <c r="BE239" s="204"/>
      <c r="BF239" s="204"/>
      <c r="BG239" s="204"/>
      <c r="BH239" s="204"/>
      <c r="BI239" s="204"/>
      <c r="BJ239" s="204"/>
      <c r="BK239" s="204"/>
      <c r="BL239" s="204"/>
      <c r="BM239" s="204"/>
      <c r="BN239" s="204"/>
      <c r="BO239" s="204"/>
      <c r="BP239" s="204"/>
      <c r="BQ239" s="204"/>
      <c r="BR239" s="204"/>
      <c r="BS239" s="204"/>
      <c r="BT239" s="204"/>
      <c r="BU239" s="204"/>
      <c r="BV239" s="204"/>
      <c r="BW239" s="204"/>
      <c r="BX239" s="204"/>
      <c r="BY239" s="204"/>
      <c r="BZ239" s="204"/>
      <c r="CA239" s="204"/>
      <c r="CB239" s="207"/>
      <c r="CM239" s="209"/>
    </row>
    <row r="240" ht="15.75" customHeight="1">
      <c r="A240" s="200"/>
      <c r="B240" s="200"/>
      <c r="C240" s="200"/>
      <c r="D240" s="200"/>
      <c r="F240" s="234"/>
      <c r="G240" s="234"/>
      <c r="H240" s="235"/>
      <c r="I240" s="191"/>
      <c r="J240" s="191"/>
      <c r="K240" s="198"/>
      <c r="L240" s="198"/>
      <c r="M240" s="198"/>
      <c r="N240" s="198"/>
      <c r="O240" s="198"/>
      <c r="P240" s="198"/>
      <c r="Q240" s="198"/>
      <c r="S240" s="200"/>
      <c r="W240" s="207"/>
      <c r="AH240" s="204"/>
      <c r="AI240" s="204"/>
      <c r="AJ240" s="204"/>
      <c r="AK240" s="204"/>
      <c r="AL240" s="204"/>
      <c r="AM240" s="204"/>
      <c r="AN240" s="204"/>
      <c r="AX240" s="204"/>
      <c r="AY240" s="204"/>
      <c r="AZ240" s="204"/>
      <c r="BA240" s="204"/>
      <c r="BB240" s="204"/>
      <c r="BC240" s="204"/>
      <c r="BD240" s="204"/>
      <c r="BE240" s="204"/>
      <c r="BF240" s="204"/>
      <c r="BG240" s="204"/>
      <c r="BH240" s="204"/>
      <c r="BI240" s="204"/>
      <c r="BJ240" s="204"/>
      <c r="BK240" s="204"/>
      <c r="BL240" s="204"/>
      <c r="BM240" s="204"/>
      <c r="BN240" s="204"/>
      <c r="BO240" s="204"/>
      <c r="BP240" s="204"/>
      <c r="BQ240" s="204"/>
      <c r="BR240" s="204"/>
      <c r="BS240" s="204"/>
      <c r="BT240" s="204"/>
      <c r="BU240" s="204"/>
      <c r="BV240" s="204"/>
      <c r="BW240" s="204"/>
      <c r="BX240" s="204"/>
      <c r="BY240" s="204"/>
      <c r="BZ240" s="204"/>
      <c r="CA240" s="204"/>
      <c r="CB240" s="207"/>
      <c r="CM240" s="209"/>
    </row>
    <row r="241" ht="15.75" customHeight="1">
      <c r="A241" s="200"/>
      <c r="B241" s="200"/>
      <c r="C241" s="200"/>
      <c r="D241" s="200"/>
      <c r="F241" s="234"/>
      <c r="G241" s="234"/>
      <c r="H241" s="235"/>
      <c r="I241" s="191"/>
      <c r="J241" s="191"/>
      <c r="K241" s="198"/>
      <c r="L241" s="198"/>
      <c r="M241" s="198"/>
      <c r="N241" s="198"/>
      <c r="O241" s="198"/>
      <c r="P241" s="198"/>
      <c r="Q241" s="198"/>
      <c r="S241" s="200"/>
      <c r="W241" s="207"/>
      <c r="AH241" s="204"/>
      <c r="AI241" s="204"/>
      <c r="AJ241" s="204"/>
      <c r="AK241" s="204"/>
      <c r="AL241" s="204"/>
      <c r="AM241" s="204"/>
      <c r="AN241" s="204"/>
      <c r="AX241" s="204"/>
      <c r="AY241" s="204"/>
      <c r="AZ241" s="204"/>
      <c r="BA241" s="204"/>
      <c r="BB241" s="204"/>
      <c r="BC241" s="204"/>
      <c r="BD241" s="204"/>
      <c r="BE241" s="204"/>
      <c r="BF241" s="204"/>
      <c r="BG241" s="204"/>
      <c r="BH241" s="204"/>
      <c r="BI241" s="204"/>
      <c r="BJ241" s="204"/>
      <c r="BK241" s="204"/>
      <c r="BL241" s="204"/>
      <c r="BM241" s="204"/>
      <c r="BN241" s="204"/>
      <c r="BO241" s="204"/>
      <c r="BP241" s="204"/>
      <c r="BQ241" s="204"/>
      <c r="BR241" s="204"/>
      <c r="BS241" s="204"/>
      <c r="BT241" s="204"/>
      <c r="BU241" s="204"/>
      <c r="BV241" s="204"/>
      <c r="BW241" s="204"/>
      <c r="BX241" s="204"/>
      <c r="BY241" s="204"/>
      <c r="BZ241" s="204"/>
      <c r="CA241" s="204"/>
      <c r="CB241" s="207"/>
      <c r="CM241" s="209"/>
    </row>
    <row r="242" ht="15.75" customHeight="1">
      <c r="A242" s="200"/>
      <c r="B242" s="200"/>
      <c r="C242" s="200"/>
      <c r="D242" s="200"/>
      <c r="F242" s="234"/>
      <c r="G242" s="234"/>
      <c r="H242" s="235"/>
      <c r="I242" s="191"/>
      <c r="J242" s="191"/>
      <c r="K242" s="198"/>
      <c r="L242" s="198"/>
      <c r="M242" s="198"/>
      <c r="N242" s="198"/>
      <c r="O242" s="198"/>
      <c r="P242" s="198"/>
      <c r="Q242" s="198"/>
      <c r="S242" s="200"/>
      <c r="W242" s="207"/>
      <c r="AH242" s="204"/>
      <c r="AI242" s="204"/>
      <c r="AJ242" s="204"/>
      <c r="AK242" s="204"/>
      <c r="AL242" s="204"/>
      <c r="AM242" s="204"/>
      <c r="AN242" s="204"/>
      <c r="AX242" s="204"/>
      <c r="AY242" s="204"/>
      <c r="AZ242" s="204"/>
      <c r="BA242" s="204"/>
      <c r="BB242" s="204"/>
      <c r="BC242" s="204"/>
      <c r="BD242" s="204"/>
      <c r="BE242" s="204"/>
      <c r="BF242" s="204"/>
      <c r="BG242" s="204"/>
      <c r="BH242" s="204"/>
      <c r="BI242" s="204"/>
      <c r="BJ242" s="204"/>
      <c r="BK242" s="204"/>
      <c r="BL242" s="204"/>
      <c r="BM242" s="204"/>
      <c r="BN242" s="204"/>
      <c r="BO242" s="204"/>
      <c r="BP242" s="204"/>
      <c r="BQ242" s="204"/>
      <c r="BR242" s="204"/>
      <c r="BS242" s="204"/>
      <c r="BT242" s="204"/>
      <c r="BU242" s="204"/>
      <c r="BV242" s="204"/>
      <c r="BW242" s="204"/>
      <c r="BX242" s="204"/>
      <c r="BY242" s="204"/>
      <c r="BZ242" s="204"/>
      <c r="CA242" s="204"/>
      <c r="CB242" s="207"/>
      <c r="CM242" s="209"/>
    </row>
    <row r="243" ht="15.75" customHeight="1">
      <c r="A243" s="200"/>
      <c r="B243" s="200"/>
      <c r="C243" s="200"/>
      <c r="D243" s="200"/>
      <c r="F243" s="234"/>
      <c r="G243" s="234"/>
      <c r="H243" s="235"/>
      <c r="I243" s="191"/>
      <c r="J243" s="191"/>
      <c r="K243" s="198"/>
      <c r="L243" s="198"/>
      <c r="M243" s="198"/>
      <c r="N243" s="198"/>
      <c r="O243" s="198"/>
      <c r="P243" s="198"/>
      <c r="Q243" s="198"/>
      <c r="S243" s="200"/>
      <c r="W243" s="207"/>
      <c r="AH243" s="204"/>
      <c r="AI243" s="204"/>
      <c r="AJ243" s="204"/>
      <c r="AK243" s="204"/>
      <c r="AL243" s="204"/>
      <c r="AM243" s="204"/>
      <c r="AN243" s="204"/>
      <c r="AX243" s="204"/>
      <c r="AY243" s="204"/>
      <c r="AZ243" s="204"/>
      <c r="BA243" s="204"/>
      <c r="BB243" s="204"/>
      <c r="BC243" s="204"/>
      <c r="BD243" s="204"/>
      <c r="BE243" s="204"/>
      <c r="BF243" s="204"/>
      <c r="BG243" s="204"/>
      <c r="BH243" s="204"/>
      <c r="BI243" s="204"/>
      <c r="BJ243" s="204"/>
      <c r="BK243" s="204"/>
      <c r="BL243" s="204"/>
      <c r="BM243" s="204"/>
      <c r="BN243" s="204"/>
      <c r="BO243" s="204"/>
      <c r="BP243" s="204"/>
      <c r="BQ243" s="204"/>
      <c r="BR243" s="204"/>
      <c r="BS243" s="204"/>
      <c r="BT243" s="204"/>
      <c r="BU243" s="204"/>
      <c r="BV243" s="204"/>
      <c r="BW243" s="204"/>
      <c r="BX243" s="204"/>
      <c r="BY243" s="204"/>
      <c r="BZ243" s="204"/>
      <c r="CA243" s="204"/>
      <c r="CB243" s="207"/>
      <c r="CM243" s="209"/>
    </row>
    <row r="244" ht="15.75" customHeight="1">
      <c r="A244" s="200"/>
      <c r="B244" s="200"/>
      <c r="C244" s="200"/>
      <c r="D244" s="200"/>
      <c r="F244" s="234"/>
      <c r="G244" s="234"/>
      <c r="H244" s="235"/>
      <c r="I244" s="191"/>
      <c r="J244" s="191"/>
      <c r="K244" s="198"/>
      <c r="L244" s="198"/>
      <c r="M244" s="198"/>
      <c r="N244" s="198"/>
      <c r="O244" s="198"/>
      <c r="P244" s="198"/>
      <c r="Q244" s="198"/>
      <c r="S244" s="200"/>
      <c r="W244" s="207"/>
      <c r="AH244" s="204"/>
      <c r="AI244" s="204"/>
      <c r="AJ244" s="204"/>
      <c r="AK244" s="204"/>
      <c r="AL244" s="204"/>
      <c r="AM244" s="204"/>
      <c r="AN244" s="204"/>
      <c r="AX244" s="204"/>
      <c r="AY244" s="204"/>
      <c r="AZ244" s="204"/>
      <c r="BA244" s="204"/>
      <c r="BB244" s="204"/>
      <c r="BC244" s="204"/>
      <c r="BD244" s="204"/>
      <c r="BE244" s="204"/>
      <c r="BF244" s="204"/>
      <c r="BG244" s="204"/>
      <c r="BH244" s="204"/>
      <c r="BI244" s="204"/>
      <c r="BJ244" s="204"/>
      <c r="BK244" s="204"/>
      <c r="BL244" s="204"/>
      <c r="BM244" s="204"/>
      <c r="BN244" s="204"/>
      <c r="BO244" s="204"/>
      <c r="BP244" s="204"/>
      <c r="BQ244" s="204"/>
      <c r="BR244" s="204"/>
      <c r="BS244" s="204"/>
      <c r="BT244" s="204"/>
      <c r="BU244" s="204"/>
      <c r="BV244" s="204"/>
      <c r="BW244" s="204"/>
      <c r="BX244" s="204"/>
      <c r="BY244" s="204"/>
      <c r="BZ244" s="204"/>
      <c r="CA244" s="204"/>
      <c r="CB244" s="207"/>
      <c r="CM244" s="209"/>
    </row>
    <row r="245" ht="15.75" customHeight="1">
      <c r="A245" s="200"/>
      <c r="B245" s="200"/>
      <c r="C245" s="200"/>
      <c r="D245" s="200"/>
      <c r="F245" s="234"/>
      <c r="G245" s="234"/>
      <c r="H245" s="235"/>
      <c r="I245" s="191"/>
      <c r="J245" s="191"/>
      <c r="K245" s="198"/>
      <c r="L245" s="198"/>
      <c r="M245" s="198"/>
      <c r="N245" s="198"/>
      <c r="O245" s="198"/>
      <c r="P245" s="198"/>
      <c r="Q245" s="198"/>
      <c r="S245" s="200"/>
      <c r="W245" s="207"/>
      <c r="AH245" s="204"/>
      <c r="AI245" s="204"/>
      <c r="AJ245" s="204"/>
      <c r="AK245" s="204"/>
      <c r="AL245" s="204"/>
      <c r="AM245" s="204"/>
      <c r="AN245" s="204"/>
      <c r="AX245" s="204"/>
      <c r="AY245" s="204"/>
      <c r="AZ245" s="204"/>
      <c r="BA245" s="204"/>
      <c r="BB245" s="204"/>
      <c r="BC245" s="204"/>
      <c r="BD245" s="204"/>
      <c r="BE245" s="204"/>
      <c r="BF245" s="204"/>
      <c r="BG245" s="204"/>
      <c r="BH245" s="204"/>
      <c r="BI245" s="204"/>
      <c r="BJ245" s="204"/>
      <c r="BK245" s="204"/>
      <c r="BL245" s="204"/>
      <c r="BM245" s="204"/>
      <c r="BN245" s="204"/>
      <c r="BO245" s="204"/>
      <c r="BP245" s="204"/>
      <c r="BQ245" s="204"/>
      <c r="BR245" s="204"/>
      <c r="BS245" s="204"/>
      <c r="BT245" s="204"/>
      <c r="BU245" s="204"/>
      <c r="BV245" s="204"/>
      <c r="BW245" s="204"/>
      <c r="BX245" s="204"/>
      <c r="BY245" s="204"/>
      <c r="BZ245" s="204"/>
      <c r="CA245" s="204"/>
      <c r="CB245" s="207"/>
      <c r="CM245" s="209"/>
    </row>
    <row r="246" ht="15.75" customHeight="1">
      <c r="A246" s="200"/>
      <c r="B246" s="200"/>
      <c r="C246" s="200"/>
      <c r="D246" s="200"/>
      <c r="F246" s="234"/>
      <c r="G246" s="234"/>
      <c r="H246" s="235"/>
      <c r="I246" s="191"/>
      <c r="J246" s="191"/>
      <c r="K246" s="198"/>
      <c r="L246" s="198"/>
      <c r="M246" s="198"/>
      <c r="N246" s="198"/>
      <c r="O246" s="198"/>
      <c r="P246" s="198"/>
      <c r="Q246" s="198"/>
      <c r="S246" s="200"/>
      <c r="W246" s="207"/>
      <c r="AH246" s="204"/>
      <c r="AI246" s="204"/>
      <c r="AJ246" s="204"/>
      <c r="AK246" s="204"/>
      <c r="AL246" s="204"/>
      <c r="AM246" s="204"/>
      <c r="AN246" s="204"/>
      <c r="AX246" s="204"/>
      <c r="AY246" s="204"/>
      <c r="AZ246" s="204"/>
      <c r="BA246" s="204"/>
      <c r="BB246" s="204"/>
      <c r="BC246" s="204"/>
      <c r="BD246" s="204"/>
      <c r="BE246" s="204"/>
      <c r="BF246" s="204"/>
      <c r="BG246" s="204"/>
      <c r="BH246" s="204"/>
      <c r="BI246" s="204"/>
      <c r="BJ246" s="204"/>
      <c r="BK246" s="204"/>
      <c r="BL246" s="204"/>
      <c r="BM246" s="204"/>
      <c r="BN246" s="204"/>
      <c r="BO246" s="204"/>
      <c r="BP246" s="204"/>
      <c r="BQ246" s="204"/>
      <c r="BR246" s="204"/>
      <c r="BS246" s="204"/>
      <c r="BT246" s="204"/>
      <c r="BU246" s="204"/>
      <c r="BV246" s="204"/>
      <c r="BW246" s="204"/>
      <c r="BX246" s="204"/>
      <c r="BY246" s="204"/>
      <c r="BZ246" s="204"/>
      <c r="CA246" s="204"/>
      <c r="CB246" s="207"/>
      <c r="CM246" s="209"/>
    </row>
    <row r="247" ht="15.75" customHeight="1">
      <c r="A247" s="200"/>
      <c r="B247" s="200"/>
      <c r="C247" s="200"/>
      <c r="D247" s="200"/>
      <c r="F247" s="234"/>
      <c r="G247" s="234"/>
      <c r="H247" s="235"/>
      <c r="I247" s="191"/>
      <c r="J247" s="191"/>
      <c r="K247" s="198"/>
      <c r="L247" s="198"/>
      <c r="M247" s="198"/>
      <c r="N247" s="198"/>
      <c r="O247" s="198"/>
      <c r="P247" s="198"/>
      <c r="Q247" s="198"/>
      <c r="S247" s="200"/>
      <c r="W247" s="207"/>
      <c r="AH247" s="204"/>
      <c r="AI247" s="204"/>
      <c r="AJ247" s="204"/>
      <c r="AK247" s="204"/>
      <c r="AL247" s="204"/>
      <c r="AM247" s="204"/>
      <c r="AN247" s="204"/>
      <c r="AX247" s="204"/>
      <c r="AY247" s="204"/>
      <c r="AZ247" s="204"/>
      <c r="BA247" s="204"/>
      <c r="BB247" s="204"/>
      <c r="BC247" s="204"/>
      <c r="BD247" s="204"/>
      <c r="BE247" s="204"/>
      <c r="BF247" s="204"/>
      <c r="BG247" s="204"/>
      <c r="BH247" s="204"/>
      <c r="BI247" s="204"/>
      <c r="BJ247" s="204"/>
      <c r="BK247" s="204"/>
      <c r="BL247" s="204"/>
      <c r="BM247" s="204"/>
      <c r="BN247" s="204"/>
      <c r="BO247" s="204"/>
      <c r="BP247" s="204"/>
      <c r="BQ247" s="204"/>
      <c r="BR247" s="204"/>
      <c r="BS247" s="204"/>
      <c r="BT247" s="204"/>
      <c r="BU247" s="204"/>
      <c r="BV247" s="204"/>
      <c r="BW247" s="204"/>
      <c r="BX247" s="204"/>
      <c r="BY247" s="204"/>
      <c r="BZ247" s="204"/>
      <c r="CA247" s="204"/>
      <c r="CB247" s="207"/>
      <c r="CM247" s="209"/>
    </row>
    <row r="248" ht="15.75" customHeight="1">
      <c r="A248" s="200"/>
      <c r="B248" s="200"/>
      <c r="C248" s="200"/>
      <c r="D248" s="200"/>
      <c r="F248" s="234"/>
      <c r="G248" s="234"/>
      <c r="H248" s="235"/>
      <c r="I248" s="191"/>
      <c r="J248" s="191"/>
      <c r="K248" s="198"/>
      <c r="L248" s="198"/>
      <c r="M248" s="198"/>
      <c r="N248" s="198"/>
      <c r="O248" s="198"/>
      <c r="P248" s="198"/>
      <c r="Q248" s="198"/>
      <c r="S248" s="200"/>
      <c r="W248" s="207"/>
      <c r="AH248" s="204"/>
      <c r="AI248" s="204"/>
      <c r="AJ248" s="204"/>
      <c r="AK248" s="204"/>
      <c r="AL248" s="204"/>
      <c r="AM248" s="204"/>
      <c r="AN248" s="204"/>
      <c r="AX248" s="204"/>
      <c r="AY248" s="204"/>
      <c r="AZ248" s="204"/>
      <c r="BA248" s="204"/>
      <c r="BB248" s="204"/>
      <c r="BC248" s="204"/>
      <c r="BD248" s="204"/>
      <c r="BE248" s="204"/>
      <c r="BF248" s="204"/>
      <c r="BG248" s="204"/>
      <c r="BH248" s="204"/>
      <c r="BI248" s="204"/>
      <c r="BJ248" s="204"/>
      <c r="BK248" s="204"/>
      <c r="BL248" s="204"/>
      <c r="BM248" s="204"/>
      <c r="BN248" s="204"/>
      <c r="BO248" s="204"/>
      <c r="BP248" s="204"/>
      <c r="BQ248" s="204"/>
      <c r="BR248" s="204"/>
      <c r="BS248" s="204"/>
      <c r="BT248" s="204"/>
      <c r="BU248" s="204"/>
      <c r="BV248" s="204"/>
      <c r="BW248" s="204"/>
      <c r="BX248" s="204"/>
      <c r="BY248" s="204"/>
      <c r="BZ248" s="204"/>
      <c r="CA248" s="204"/>
      <c r="CB248" s="207"/>
      <c r="CM248" s="209"/>
    </row>
    <row r="249" ht="15.75" customHeight="1">
      <c r="A249" s="200"/>
      <c r="B249" s="200"/>
      <c r="C249" s="200"/>
      <c r="D249" s="200"/>
      <c r="F249" s="234"/>
      <c r="G249" s="234"/>
      <c r="H249" s="235"/>
      <c r="I249" s="191"/>
      <c r="J249" s="191"/>
      <c r="K249" s="198"/>
      <c r="L249" s="198"/>
      <c r="M249" s="198"/>
      <c r="N249" s="198"/>
      <c r="O249" s="198"/>
      <c r="P249" s="198"/>
      <c r="Q249" s="198"/>
      <c r="S249" s="200"/>
      <c r="W249" s="207"/>
      <c r="AH249" s="204"/>
      <c r="AI249" s="204"/>
      <c r="AJ249" s="204"/>
      <c r="AK249" s="204"/>
      <c r="AL249" s="204"/>
      <c r="AM249" s="204"/>
      <c r="AN249" s="204"/>
      <c r="AX249" s="204"/>
      <c r="AY249" s="204"/>
      <c r="AZ249" s="204"/>
      <c r="BA249" s="204"/>
      <c r="BB249" s="204"/>
      <c r="BC249" s="204"/>
      <c r="BD249" s="204"/>
      <c r="BE249" s="204"/>
      <c r="BF249" s="204"/>
      <c r="BG249" s="204"/>
      <c r="BH249" s="204"/>
      <c r="BI249" s="204"/>
      <c r="BJ249" s="204"/>
      <c r="BK249" s="204"/>
      <c r="BL249" s="204"/>
      <c r="BM249" s="204"/>
      <c r="BN249" s="204"/>
      <c r="BO249" s="204"/>
      <c r="BP249" s="204"/>
      <c r="BQ249" s="204"/>
      <c r="BR249" s="204"/>
      <c r="BS249" s="204"/>
      <c r="BT249" s="204"/>
      <c r="BU249" s="204"/>
      <c r="BV249" s="204"/>
      <c r="BW249" s="204"/>
      <c r="BX249" s="204"/>
      <c r="BY249" s="204"/>
      <c r="BZ249" s="204"/>
      <c r="CA249" s="204"/>
      <c r="CB249" s="207"/>
      <c r="CM249" s="209"/>
    </row>
    <row r="250" ht="15.75" customHeight="1">
      <c r="A250" s="200"/>
      <c r="B250" s="200"/>
      <c r="C250" s="200"/>
      <c r="D250" s="200"/>
      <c r="F250" s="234"/>
      <c r="G250" s="234"/>
      <c r="H250" s="235"/>
      <c r="I250" s="191"/>
      <c r="J250" s="191"/>
      <c r="K250" s="198"/>
      <c r="L250" s="198"/>
      <c r="M250" s="198"/>
      <c r="N250" s="198"/>
      <c r="O250" s="198"/>
      <c r="P250" s="198"/>
      <c r="Q250" s="198"/>
      <c r="S250" s="200"/>
      <c r="W250" s="207"/>
      <c r="AH250" s="204"/>
      <c r="AI250" s="204"/>
      <c r="AJ250" s="204"/>
      <c r="AK250" s="204"/>
      <c r="AL250" s="204"/>
      <c r="AM250" s="204"/>
      <c r="AN250" s="204"/>
      <c r="AX250" s="204"/>
      <c r="AY250" s="204"/>
      <c r="AZ250" s="204"/>
      <c r="BA250" s="204"/>
      <c r="BB250" s="204"/>
      <c r="BC250" s="204"/>
      <c r="BD250" s="204"/>
      <c r="BE250" s="204"/>
      <c r="BF250" s="204"/>
      <c r="BG250" s="204"/>
      <c r="BH250" s="204"/>
      <c r="BI250" s="204"/>
      <c r="BJ250" s="204"/>
      <c r="BK250" s="204"/>
      <c r="BL250" s="204"/>
      <c r="BM250" s="204"/>
      <c r="BN250" s="204"/>
      <c r="BO250" s="204"/>
      <c r="BP250" s="204"/>
      <c r="BQ250" s="204"/>
      <c r="BR250" s="204"/>
      <c r="BS250" s="204"/>
      <c r="BT250" s="204"/>
      <c r="BU250" s="204"/>
      <c r="BV250" s="204"/>
      <c r="BW250" s="204"/>
      <c r="BX250" s="204"/>
      <c r="BY250" s="204"/>
      <c r="BZ250" s="204"/>
      <c r="CA250" s="204"/>
      <c r="CB250" s="207"/>
      <c r="CM250" s="209"/>
    </row>
    <row r="251" ht="15.75" customHeight="1">
      <c r="A251" s="200"/>
      <c r="B251" s="200"/>
      <c r="C251" s="200"/>
      <c r="D251" s="200"/>
      <c r="F251" s="234"/>
      <c r="G251" s="234"/>
      <c r="H251" s="235"/>
      <c r="I251" s="191"/>
      <c r="J251" s="191"/>
      <c r="K251" s="198"/>
      <c r="L251" s="198"/>
      <c r="M251" s="198"/>
      <c r="N251" s="198"/>
      <c r="O251" s="198"/>
      <c r="P251" s="198"/>
      <c r="Q251" s="198"/>
      <c r="S251" s="200"/>
      <c r="W251" s="207"/>
      <c r="AH251" s="204"/>
      <c r="AI251" s="204"/>
      <c r="AJ251" s="204"/>
      <c r="AK251" s="204"/>
      <c r="AL251" s="204"/>
      <c r="AM251" s="204"/>
      <c r="AN251" s="204"/>
      <c r="AX251" s="204"/>
      <c r="AY251" s="204"/>
      <c r="AZ251" s="204"/>
      <c r="BA251" s="204"/>
      <c r="BB251" s="204"/>
      <c r="BC251" s="204"/>
      <c r="BD251" s="204"/>
      <c r="BE251" s="204"/>
      <c r="BF251" s="204"/>
      <c r="BG251" s="204"/>
      <c r="BH251" s="204"/>
      <c r="BI251" s="204"/>
      <c r="BJ251" s="204"/>
      <c r="BK251" s="204"/>
      <c r="BL251" s="204"/>
      <c r="BM251" s="204"/>
      <c r="BN251" s="204"/>
      <c r="BO251" s="204"/>
      <c r="BP251" s="204"/>
      <c r="BQ251" s="204"/>
      <c r="BR251" s="204"/>
      <c r="BS251" s="204"/>
      <c r="BT251" s="204"/>
      <c r="BU251" s="204"/>
      <c r="BV251" s="204"/>
      <c r="BW251" s="204"/>
      <c r="BX251" s="204"/>
      <c r="BY251" s="204"/>
      <c r="BZ251" s="204"/>
      <c r="CA251" s="204"/>
      <c r="CB251" s="207"/>
      <c r="CM251" s="209"/>
    </row>
    <row r="252" ht="15.75" customHeight="1">
      <c r="A252" s="200"/>
      <c r="B252" s="200"/>
      <c r="C252" s="200"/>
      <c r="D252" s="200"/>
      <c r="F252" s="234"/>
      <c r="G252" s="234"/>
      <c r="H252" s="235"/>
      <c r="I252" s="191"/>
      <c r="J252" s="191"/>
      <c r="K252" s="198"/>
      <c r="L252" s="198"/>
      <c r="M252" s="198"/>
      <c r="N252" s="198"/>
      <c r="O252" s="198"/>
      <c r="P252" s="198"/>
      <c r="Q252" s="198"/>
      <c r="S252" s="200"/>
      <c r="W252" s="207"/>
      <c r="AH252" s="204"/>
      <c r="AI252" s="204"/>
      <c r="AJ252" s="204"/>
      <c r="AK252" s="204"/>
      <c r="AL252" s="204"/>
      <c r="AM252" s="204"/>
      <c r="AN252" s="204"/>
      <c r="AX252" s="204"/>
      <c r="AY252" s="204"/>
      <c r="AZ252" s="204"/>
      <c r="BA252" s="204"/>
      <c r="BB252" s="204"/>
      <c r="BC252" s="204"/>
      <c r="BD252" s="204"/>
      <c r="BE252" s="204"/>
      <c r="BF252" s="204"/>
      <c r="BG252" s="204"/>
      <c r="BH252" s="204"/>
      <c r="BI252" s="204"/>
      <c r="BJ252" s="204"/>
      <c r="BK252" s="204"/>
      <c r="BL252" s="204"/>
      <c r="BM252" s="204"/>
      <c r="BN252" s="204"/>
      <c r="BO252" s="204"/>
      <c r="BP252" s="204"/>
      <c r="BQ252" s="204"/>
      <c r="BR252" s="204"/>
      <c r="BS252" s="204"/>
      <c r="BT252" s="204"/>
      <c r="BU252" s="204"/>
      <c r="BV252" s="204"/>
      <c r="BW252" s="204"/>
      <c r="BX252" s="204"/>
      <c r="BY252" s="204"/>
      <c r="BZ252" s="204"/>
      <c r="CA252" s="204"/>
      <c r="CB252" s="207"/>
      <c r="CM252" s="209"/>
    </row>
    <row r="253" ht="15.75" customHeight="1">
      <c r="A253" s="200"/>
      <c r="B253" s="200"/>
      <c r="C253" s="200"/>
      <c r="D253" s="200"/>
      <c r="F253" s="234"/>
      <c r="G253" s="234"/>
      <c r="H253" s="235"/>
      <c r="I253" s="191"/>
      <c r="J253" s="191"/>
      <c r="K253" s="198"/>
      <c r="L253" s="198"/>
      <c r="M253" s="198"/>
      <c r="N253" s="198"/>
      <c r="O253" s="198"/>
      <c r="P253" s="198"/>
      <c r="Q253" s="198"/>
      <c r="S253" s="200"/>
      <c r="W253" s="207"/>
      <c r="AH253" s="204"/>
      <c r="AI253" s="204"/>
      <c r="AJ253" s="204"/>
      <c r="AK253" s="204"/>
      <c r="AL253" s="204"/>
      <c r="AM253" s="204"/>
      <c r="AN253" s="204"/>
      <c r="AX253" s="204"/>
      <c r="AY253" s="204"/>
      <c r="AZ253" s="204"/>
      <c r="BA253" s="204"/>
      <c r="BB253" s="204"/>
      <c r="BC253" s="204"/>
      <c r="BD253" s="204"/>
      <c r="BE253" s="204"/>
      <c r="BF253" s="204"/>
      <c r="BG253" s="204"/>
      <c r="BH253" s="204"/>
      <c r="BI253" s="204"/>
      <c r="BJ253" s="204"/>
      <c r="BK253" s="204"/>
      <c r="BL253" s="204"/>
      <c r="BM253" s="204"/>
      <c r="BN253" s="204"/>
      <c r="BO253" s="204"/>
      <c r="BP253" s="204"/>
      <c r="BQ253" s="204"/>
      <c r="BR253" s="204"/>
      <c r="BS253" s="204"/>
      <c r="BT253" s="204"/>
      <c r="BU253" s="204"/>
      <c r="BV253" s="204"/>
      <c r="BW253" s="204"/>
      <c r="BX253" s="204"/>
      <c r="BY253" s="204"/>
      <c r="BZ253" s="204"/>
      <c r="CA253" s="204"/>
      <c r="CB253" s="207"/>
      <c r="CM253" s="209"/>
    </row>
    <row r="254" ht="15.75" customHeight="1">
      <c r="A254" s="200"/>
      <c r="B254" s="200"/>
      <c r="C254" s="200"/>
      <c r="D254" s="200"/>
      <c r="F254" s="234"/>
      <c r="G254" s="234"/>
      <c r="H254" s="235"/>
      <c r="I254" s="191"/>
      <c r="J254" s="191"/>
      <c r="K254" s="198"/>
      <c r="L254" s="198"/>
      <c r="M254" s="198"/>
      <c r="N254" s="198"/>
      <c r="O254" s="198"/>
      <c r="P254" s="198"/>
      <c r="Q254" s="198"/>
      <c r="S254" s="200"/>
      <c r="W254" s="207"/>
      <c r="AH254" s="204"/>
      <c r="AI254" s="204"/>
      <c r="AJ254" s="204"/>
      <c r="AK254" s="204"/>
      <c r="AL254" s="204"/>
      <c r="AM254" s="204"/>
      <c r="AN254" s="204"/>
      <c r="AX254" s="204"/>
      <c r="AY254" s="204"/>
      <c r="AZ254" s="204"/>
      <c r="BA254" s="204"/>
      <c r="BB254" s="204"/>
      <c r="BC254" s="204"/>
      <c r="BD254" s="204"/>
      <c r="BE254" s="204"/>
      <c r="BF254" s="204"/>
      <c r="BG254" s="204"/>
      <c r="BH254" s="204"/>
      <c r="BI254" s="204"/>
      <c r="BJ254" s="204"/>
      <c r="BK254" s="204"/>
      <c r="BL254" s="204"/>
      <c r="BM254" s="204"/>
      <c r="BN254" s="204"/>
      <c r="BO254" s="204"/>
      <c r="BP254" s="204"/>
      <c r="BQ254" s="204"/>
      <c r="BR254" s="204"/>
      <c r="BS254" s="204"/>
      <c r="BT254" s="204"/>
      <c r="BU254" s="204"/>
      <c r="BV254" s="204"/>
      <c r="BW254" s="204"/>
      <c r="BX254" s="204"/>
      <c r="BY254" s="204"/>
      <c r="BZ254" s="204"/>
      <c r="CA254" s="204"/>
      <c r="CB254" s="207"/>
      <c r="CM254" s="209"/>
    </row>
    <row r="255" ht="15.75" customHeight="1">
      <c r="A255" s="200"/>
      <c r="B255" s="200"/>
      <c r="C255" s="200"/>
      <c r="D255" s="200"/>
      <c r="F255" s="234"/>
      <c r="G255" s="234"/>
      <c r="H255" s="235"/>
      <c r="I255" s="191"/>
      <c r="J255" s="191"/>
      <c r="K255" s="198"/>
      <c r="L255" s="198"/>
      <c r="M255" s="198"/>
      <c r="N255" s="198"/>
      <c r="O255" s="198"/>
      <c r="P255" s="198"/>
      <c r="Q255" s="198"/>
      <c r="S255" s="200"/>
      <c r="W255" s="207"/>
      <c r="AH255" s="204"/>
      <c r="AI255" s="204"/>
      <c r="AJ255" s="204"/>
      <c r="AK255" s="204"/>
      <c r="AL255" s="204"/>
      <c r="AM255" s="204"/>
      <c r="AN255" s="204"/>
      <c r="AX255" s="204"/>
      <c r="AY255" s="204"/>
      <c r="AZ255" s="204"/>
      <c r="BA255" s="204"/>
      <c r="BB255" s="204"/>
      <c r="BC255" s="204"/>
      <c r="BD255" s="204"/>
      <c r="BE255" s="204"/>
      <c r="BF255" s="204"/>
      <c r="BG255" s="204"/>
      <c r="BH255" s="204"/>
      <c r="BI255" s="204"/>
      <c r="BJ255" s="204"/>
      <c r="BK255" s="204"/>
      <c r="BL255" s="204"/>
      <c r="BM255" s="204"/>
      <c r="BN255" s="204"/>
      <c r="BO255" s="204"/>
      <c r="BP255" s="204"/>
      <c r="BQ255" s="204"/>
      <c r="BR255" s="204"/>
      <c r="BS255" s="204"/>
      <c r="BT255" s="204"/>
      <c r="BU255" s="204"/>
      <c r="BV255" s="204"/>
      <c r="BW255" s="204"/>
      <c r="BX255" s="204"/>
      <c r="BY255" s="204"/>
      <c r="BZ255" s="204"/>
      <c r="CA255" s="204"/>
      <c r="CB255" s="207"/>
      <c r="CM255" s="209"/>
    </row>
    <row r="256" ht="15.75" customHeight="1">
      <c r="A256" s="200"/>
      <c r="B256" s="200"/>
      <c r="C256" s="200"/>
      <c r="D256" s="200"/>
      <c r="F256" s="234"/>
      <c r="G256" s="234"/>
      <c r="H256" s="235"/>
      <c r="I256" s="191"/>
      <c r="J256" s="191"/>
      <c r="K256" s="198"/>
      <c r="L256" s="198"/>
      <c r="M256" s="198"/>
      <c r="N256" s="198"/>
      <c r="O256" s="198"/>
      <c r="P256" s="198"/>
      <c r="Q256" s="198"/>
      <c r="S256" s="200"/>
      <c r="W256" s="207"/>
      <c r="AH256" s="204"/>
      <c r="AI256" s="204"/>
      <c r="AJ256" s="204"/>
      <c r="AK256" s="204"/>
      <c r="AL256" s="204"/>
      <c r="AM256" s="204"/>
      <c r="AN256" s="204"/>
      <c r="AX256" s="204"/>
      <c r="AY256" s="204"/>
      <c r="AZ256" s="204"/>
      <c r="BA256" s="204"/>
      <c r="BB256" s="204"/>
      <c r="BC256" s="204"/>
      <c r="BD256" s="204"/>
      <c r="BE256" s="204"/>
      <c r="BF256" s="204"/>
      <c r="BG256" s="204"/>
      <c r="BH256" s="204"/>
      <c r="BI256" s="204"/>
      <c r="BJ256" s="204"/>
      <c r="BK256" s="204"/>
      <c r="BL256" s="204"/>
      <c r="BM256" s="204"/>
      <c r="BN256" s="204"/>
      <c r="BO256" s="204"/>
      <c r="BP256" s="204"/>
      <c r="BQ256" s="204"/>
      <c r="BR256" s="204"/>
      <c r="BS256" s="204"/>
      <c r="BT256" s="204"/>
      <c r="BU256" s="204"/>
      <c r="BV256" s="204"/>
      <c r="BW256" s="204"/>
      <c r="BX256" s="204"/>
      <c r="BY256" s="204"/>
      <c r="BZ256" s="204"/>
      <c r="CA256" s="204"/>
      <c r="CB256" s="207"/>
      <c r="CM256" s="209"/>
    </row>
    <row r="257" ht="15.75" customHeight="1">
      <c r="A257" s="200"/>
      <c r="B257" s="200"/>
      <c r="C257" s="200"/>
      <c r="D257" s="200"/>
      <c r="F257" s="234"/>
      <c r="G257" s="234"/>
      <c r="H257" s="235"/>
      <c r="I257" s="191"/>
      <c r="J257" s="191"/>
      <c r="K257" s="198"/>
      <c r="L257" s="198"/>
      <c r="M257" s="198"/>
      <c r="N257" s="198"/>
      <c r="O257" s="198"/>
      <c r="P257" s="198"/>
      <c r="Q257" s="198"/>
      <c r="S257" s="200"/>
      <c r="W257" s="207"/>
      <c r="AH257" s="204"/>
      <c r="AI257" s="204"/>
      <c r="AJ257" s="204"/>
      <c r="AK257" s="204"/>
      <c r="AL257" s="204"/>
      <c r="AM257" s="204"/>
      <c r="AN257" s="204"/>
      <c r="AX257" s="204"/>
      <c r="AY257" s="204"/>
      <c r="AZ257" s="204"/>
      <c r="BA257" s="204"/>
      <c r="BB257" s="204"/>
      <c r="BC257" s="204"/>
      <c r="BD257" s="204"/>
      <c r="BE257" s="204"/>
      <c r="BF257" s="204"/>
      <c r="BG257" s="204"/>
      <c r="BH257" s="204"/>
      <c r="BI257" s="204"/>
      <c r="BJ257" s="204"/>
      <c r="BK257" s="204"/>
      <c r="BL257" s="204"/>
      <c r="BM257" s="204"/>
      <c r="BN257" s="204"/>
      <c r="BO257" s="204"/>
      <c r="BP257" s="204"/>
      <c r="BQ257" s="204"/>
      <c r="BR257" s="204"/>
      <c r="BS257" s="204"/>
      <c r="BT257" s="204"/>
      <c r="BU257" s="204"/>
      <c r="BV257" s="204"/>
      <c r="BW257" s="204"/>
      <c r="BX257" s="204"/>
      <c r="BY257" s="204"/>
      <c r="BZ257" s="204"/>
      <c r="CA257" s="204"/>
      <c r="CB257" s="207"/>
      <c r="CM257" s="209"/>
    </row>
    <row r="258" ht="15.75" customHeight="1">
      <c r="A258" s="200"/>
      <c r="B258" s="200"/>
      <c r="C258" s="200"/>
      <c r="D258" s="200"/>
      <c r="F258" s="234"/>
      <c r="G258" s="234"/>
      <c r="H258" s="235"/>
      <c r="I258" s="191"/>
      <c r="J258" s="191"/>
      <c r="K258" s="198"/>
      <c r="L258" s="198"/>
      <c r="M258" s="198"/>
      <c r="N258" s="198"/>
      <c r="O258" s="198"/>
      <c r="P258" s="198"/>
      <c r="Q258" s="198"/>
      <c r="S258" s="200"/>
      <c r="W258" s="207"/>
      <c r="AH258" s="204"/>
      <c r="AI258" s="204"/>
      <c r="AJ258" s="204"/>
      <c r="AK258" s="204"/>
      <c r="AL258" s="204"/>
      <c r="AM258" s="204"/>
      <c r="AN258" s="204"/>
      <c r="AX258" s="204"/>
      <c r="AY258" s="204"/>
      <c r="AZ258" s="204"/>
      <c r="BA258" s="204"/>
      <c r="BB258" s="204"/>
      <c r="BC258" s="204"/>
      <c r="BD258" s="204"/>
      <c r="BE258" s="204"/>
      <c r="BF258" s="204"/>
      <c r="BG258" s="204"/>
      <c r="BH258" s="204"/>
      <c r="BI258" s="204"/>
      <c r="BJ258" s="204"/>
      <c r="BK258" s="204"/>
      <c r="BL258" s="204"/>
      <c r="BM258" s="204"/>
      <c r="BN258" s="204"/>
      <c r="BO258" s="204"/>
      <c r="BP258" s="204"/>
      <c r="BQ258" s="204"/>
      <c r="BR258" s="204"/>
      <c r="BS258" s="204"/>
      <c r="BT258" s="204"/>
      <c r="BU258" s="204"/>
      <c r="BV258" s="204"/>
      <c r="BW258" s="204"/>
      <c r="BX258" s="204"/>
      <c r="BY258" s="204"/>
      <c r="BZ258" s="204"/>
      <c r="CA258" s="204"/>
      <c r="CB258" s="207"/>
      <c r="CM258" s="209"/>
    </row>
    <row r="259" ht="15.75" customHeight="1">
      <c r="A259" s="200"/>
      <c r="B259" s="200"/>
      <c r="C259" s="200"/>
      <c r="D259" s="200"/>
      <c r="F259" s="234"/>
      <c r="G259" s="234"/>
      <c r="H259" s="235"/>
      <c r="I259" s="191"/>
      <c r="J259" s="191"/>
      <c r="K259" s="198"/>
      <c r="L259" s="198"/>
      <c r="M259" s="198"/>
      <c r="N259" s="198"/>
      <c r="O259" s="198"/>
      <c r="P259" s="198"/>
      <c r="Q259" s="198"/>
      <c r="S259" s="200"/>
      <c r="W259" s="207"/>
      <c r="AH259" s="204"/>
      <c r="AI259" s="204"/>
      <c r="AJ259" s="204"/>
      <c r="AK259" s="204"/>
      <c r="AL259" s="204"/>
      <c r="AM259" s="204"/>
      <c r="AN259" s="204"/>
      <c r="AX259" s="204"/>
      <c r="AY259" s="204"/>
      <c r="AZ259" s="204"/>
      <c r="BA259" s="204"/>
      <c r="BB259" s="204"/>
      <c r="BC259" s="204"/>
      <c r="BD259" s="204"/>
      <c r="BE259" s="204"/>
      <c r="BF259" s="204"/>
      <c r="BG259" s="204"/>
      <c r="BH259" s="204"/>
      <c r="BI259" s="204"/>
      <c r="BJ259" s="204"/>
      <c r="BK259" s="204"/>
      <c r="BL259" s="204"/>
      <c r="BM259" s="204"/>
      <c r="BN259" s="204"/>
      <c r="BO259" s="204"/>
      <c r="BP259" s="204"/>
      <c r="BQ259" s="204"/>
      <c r="BR259" s="204"/>
      <c r="BS259" s="204"/>
      <c r="BT259" s="204"/>
      <c r="BU259" s="204"/>
      <c r="BV259" s="204"/>
      <c r="BW259" s="204"/>
      <c r="BX259" s="204"/>
      <c r="BY259" s="204"/>
      <c r="BZ259" s="204"/>
      <c r="CA259" s="204"/>
      <c r="CB259" s="207"/>
      <c r="CM259" s="209"/>
    </row>
    <row r="260" ht="15.75" customHeight="1">
      <c r="A260" s="200"/>
      <c r="B260" s="200"/>
      <c r="C260" s="200"/>
      <c r="D260" s="200"/>
      <c r="F260" s="234"/>
      <c r="G260" s="234"/>
      <c r="H260" s="235"/>
      <c r="I260" s="191"/>
      <c r="J260" s="191"/>
      <c r="K260" s="198"/>
      <c r="L260" s="198"/>
      <c r="M260" s="198"/>
      <c r="N260" s="198"/>
      <c r="O260" s="198"/>
      <c r="P260" s="198"/>
      <c r="Q260" s="198"/>
      <c r="S260" s="200"/>
      <c r="W260" s="207"/>
      <c r="AH260" s="204"/>
      <c r="AI260" s="204"/>
      <c r="AJ260" s="204"/>
      <c r="AK260" s="204"/>
      <c r="AL260" s="204"/>
      <c r="AM260" s="204"/>
      <c r="AN260" s="204"/>
      <c r="AX260" s="204"/>
      <c r="AY260" s="204"/>
      <c r="AZ260" s="204"/>
      <c r="BA260" s="204"/>
      <c r="BB260" s="204"/>
      <c r="BC260" s="204"/>
      <c r="BD260" s="204"/>
      <c r="BE260" s="204"/>
      <c r="BF260" s="204"/>
      <c r="BG260" s="204"/>
      <c r="BH260" s="204"/>
      <c r="BI260" s="204"/>
      <c r="BJ260" s="204"/>
      <c r="BK260" s="204"/>
      <c r="BL260" s="204"/>
      <c r="BM260" s="204"/>
      <c r="BN260" s="204"/>
      <c r="BO260" s="204"/>
      <c r="BP260" s="204"/>
      <c r="BQ260" s="204"/>
      <c r="BR260" s="204"/>
      <c r="BS260" s="204"/>
      <c r="BT260" s="204"/>
      <c r="BU260" s="204"/>
      <c r="BV260" s="204"/>
      <c r="BW260" s="204"/>
      <c r="BX260" s="204"/>
      <c r="BY260" s="204"/>
      <c r="BZ260" s="204"/>
      <c r="CA260" s="204"/>
      <c r="CB260" s="207"/>
      <c r="CM260" s="209"/>
    </row>
    <row r="261" ht="15.75" customHeight="1">
      <c r="A261" s="200"/>
      <c r="B261" s="200"/>
      <c r="C261" s="200"/>
      <c r="D261" s="200"/>
      <c r="F261" s="234"/>
      <c r="G261" s="234"/>
      <c r="H261" s="235"/>
      <c r="I261" s="191"/>
      <c r="J261" s="191"/>
      <c r="K261" s="198"/>
      <c r="L261" s="198"/>
      <c r="M261" s="198"/>
      <c r="N261" s="198"/>
      <c r="O261" s="198"/>
      <c r="P261" s="198"/>
      <c r="Q261" s="198"/>
      <c r="S261" s="200"/>
      <c r="W261" s="207"/>
      <c r="AH261" s="204"/>
      <c r="AI261" s="204"/>
      <c r="AJ261" s="204"/>
      <c r="AK261" s="204"/>
      <c r="AL261" s="204"/>
      <c r="AM261" s="204"/>
      <c r="AN261" s="204"/>
      <c r="AX261" s="204"/>
      <c r="AY261" s="204"/>
      <c r="AZ261" s="204"/>
      <c r="BA261" s="204"/>
      <c r="BB261" s="204"/>
      <c r="BC261" s="204"/>
      <c r="BD261" s="204"/>
      <c r="BE261" s="204"/>
      <c r="BF261" s="204"/>
      <c r="BG261" s="204"/>
      <c r="BH261" s="204"/>
      <c r="BI261" s="204"/>
      <c r="BJ261" s="204"/>
      <c r="BK261" s="204"/>
      <c r="BL261" s="204"/>
      <c r="BM261" s="204"/>
      <c r="BN261" s="204"/>
      <c r="BO261" s="204"/>
      <c r="BP261" s="204"/>
      <c r="BQ261" s="204"/>
      <c r="BR261" s="204"/>
      <c r="BS261" s="204"/>
      <c r="BT261" s="204"/>
      <c r="BU261" s="204"/>
      <c r="BV261" s="204"/>
      <c r="BW261" s="204"/>
      <c r="BX261" s="204"/>
      <c r="BY261" s="204"/>
      <c r="BZ261" s="204"/>
      <c r="CA261" s="204"/>
      <c r="CB261" s="207"/>
      <c r="CM261" s="209"/>
    </row>
    <row r="262" ht="15.75" customHeight="1">
      <c r="A262" s="200"/>
      <c r="B262" s="200"/>
      <c r="C262" s="200"/>
      <c r="D262" s="200"/>
      <c r="F262" s="234"/>
      <c r="G262" s="234"/>
      <c r="H262" s="235"/>
      <c r="I262" s="191"/>
      <c r="J262" s="191"/>
      <c r="K262" s="198"/>
      <c r="L262" s="198"/>
      <c r="M262" s="198"/>
      <c r="N262" s="198"/>
      <c r="O262" s="198"/>
      <c r="P262" s="198"/>
      <c r="Q262" s="198"/>
      <c r="S262" s="200"/>
      <c r="W262" s="207"/>
      <c r="AH262" s="204"/>
      <c r="AI262" s="204"/>
      <c r="AJ262" s="204"/>
      <c r="AK262" s="204"/>
      <c r="AL262" s="204"/>
      <c r="AM262" s="204"/>
      <c r="AN262" s="204"/>
      <c r="AX262" s="204"/>
      <c r="AY262" s="204"/>
      <c r="AZ262" s="204"/>
      <c r="BA262" s="204"/>
      <c r="BB262" s="204"/>
      <c r="BC262" s="204"/>
      <c r="BD262" s="204"/>
      <c r="BE262" s="204"/>
      <c r="BF262" s="204"/>
      <c r="BG262" s="204"/>
      <c r="BH262" s="204"/>
      <c r="BI262" s="204"/>
      <c r="BJ262" s="204"/>
      <c r="BK262" s="204"/>
      <c r="BL262" s="204"/>
      <c r="BM262" s="204"/>
      <c r="BN262" s="204"/>
      <c r="BO262" s="204"/>
      <c r="BP262" s="204"/>
      <c r="BQ262" s="204"/>
      <c r="BR262" s="204"/>
      <c r="BS262" s="204"/>
      <c r="BT262" s="204"/>
      <c r="BU262" s="204"/>
      <c r="BV262" s="204"/>
      <c r="BW262" s="204"/>
      <c r="BX262" s="204"/>
      <c r="BY262" s="204"/>
      <c r="BZ262" s="204"/>
      <c r="CA262" s="204"/>
      <c r="CB262" s="207"/>
      <c r="CM262" s="209"/>
    </row>
    <row r="263" ht="15.75" customHeight="1">
      <c r="A263" s="200"/>
      <c r="B263" s="200"/>
      <c r="C263" s="200"/>
      <c r="D263" s="200"/>
      <c r="F263" s="234"/>
      <c r="G263" s="234"/>
      <c r="H263" s="235"/>
      <c r="I263" s="191"/>
      <c r="J263" s="191"/>
      <c r="K263" s="198"/>
      <c r="L263" s="198"/>
      <c r="M263" s="198"/>
      <c r="N263" s="198"/>
      <c r="O263" s="198"/>
      <c r="P263" s="198"/>
      <c r="Q263" s="198"/>
      <c r="S263" s="200"/>
      <c r="W263" s="207"/>
      <c r="AH263" s="204"/>
      <c r="AI263" s="204"/>
      <c r="AJ263" s="204"/>
      <c r="AK263" s="204"/>
      <c r="AL263" s="204"/>
      <c r="AM263" s="204"/>
      <c r="AN263" s="204"/>
      <c r="AX263" s="204"/>
      <c r="AY263" s="204"/>
      <c r="AZ263" s="204"/>
      <c r="BA263" s="204"/>
      <c r="BB263" s="204"/>
      <c r="BC263" s="204"/>
      <c r="BD263" s="204"/>
      <c r="BE263" s="204"/>
      <c r="BF263" s="204"/>
      <c r="BG263" s="204"/>
      <c r="BH263" s="204"/>
      <c r="BI263" s="204"/>
      <c r="BJ263" s="204"/>
      <c r="BK263" s="204"/>
      <c r="BL263" s="204"/>
      <c r="BM263" s="204"/>
      <c r="BN263" s="204"/>
      <c r="BO263" s="204"/>
      <c r="BP263" s="204"/>
      <c r="BQ263" s="204"/>
      <c r="BR263" s="204"/>
      <c r="BS263" s="204"/>
      <c r="BT263" s="204"/>
      <c r="BU263" s="204"/>
      <c r="BV263" s="204"/>
      <c r="BW263" s="204"/>
      <c r="BX263" s="204"/>
      <c r="BY263" s="204"/>
      <c r="BZ263" s="204"/>
      <c r="CA263" s="204"/>
      <c r="CB263" s="207"/>
      <c r="CM263" s="209"/>
    </row>
    <row r="264" ht="15.75" customHeight="1">
      <c r="A264" s="200"/>
      <c r="B264" s="200"/>
      <c r="C264" s="200"/>
      <c r="D264" s="200"/>
      <c r="F264" s="234"/>
      <c r="G264" s="234"/>
      <c r="H264" s="235"/>
      <c r="I264" s="191"/>
      <c r="J264" s="191"/>
      <c r="K264" s="198"/>
      <c r="L264" s="198"/>
      <c r="M264" s="198"/>
      <c r="N264" s="198"/>
      <c r="O264" s="198"/>
      <c r="P264" s="198"/>
      <c r="Q264" s="198"/>
      <c r="S264" s="200"/>
      <c r="W264" s="207"/>
      <c r="AH264" s="204"/>
      <c r="AI264" s="204"/>
      <c r="AJ264" s="204"/>
      <c r="AK264" s="204"/>
      <c r="AL264" s="204"/>
      <c r="AM264" s="204"/>
      <c r="AN264" s="204"/>
      <c r="AX264" s="204"/>
      <c r="AY264" s="204"/>
      <c r="AZ264" s="204"/>
      <c r="BA264" s="204"/>
      <c r="BB264" s="204"/>
      <c r="BC264" s="204"/>
      <c r="BD264" s="204"/>
      <c r="BE264" s="204"/>
      <c r="BF264" s="204"/>
      <c r="BG264" s="204"/>
      <c r="BH264" s="204"/>
      <c r="BI264" s="204"/>
      <c r="BJ264" s="204"/>
      <c r="BK264" s="204"/>
      <c r="BL264" s="204"/>
      <c r="BM264" s="204"/>
      <c r="BN264" s="204"/>
      <c r="BO264" s="204"/>
      <c r="BP264" s="204"/>
      <c r="BQ264" s="204"/>
      <c r="BR264" s="204"/>
      <c r="BS264" s="204"/>
      <c r="BT264" s="204"/>
      <c r="BU264" s="204"/>
      <c r="BV264" s="204"/>
      <c r="BW264" s="204"/>
      <c r="BX264" s="204"/>
      <c r="BY264" s="204"/>
      <c r="BZ264" s="204"/>
      <c r="CA264" s="204"/>
      <c r="CB264" s="207"/>
      <c r="CM264" s="209"/>
    </row>
    <row r="265" ht="15.75" customHeight="1">
      <c r="A265" s="200"/>
      <c r="B265" s="200"/>
      <c r="C265" s="200"/>
      <c r="D265" s="200"/>
      <c r="F265" s="234"/>
      <c r="G265" s="234"/>
      <c r="H265" s="235"/>
      <c r="I265" s="191"/>
      <c r="J265" s="191"/>
      <c r="K265" s="198"/>
      <c r="L265" s="198"/>
      <c r="M265" s="198"/>
      <c r="N265" s="198"/>
      <c r="O265" s="198"/>
      <c r="P265" s="198"/>
      <c r="Q265" s="198"/>
      <c r="S265" s="200"/>
      <c r="W265" s="207"/>
      <c r="AH265" s="204"/>
      <c r="AI265" s="204"/>
      <c r="AJ265" s="204"/>
      <c r="AK265" s="204"/>
      <c r="AL265" s="204"/>
      <c r="AM265" s="204"/>
      <c r="AN265" s="204"/>
      <c r="AX265" s="204"/>
      <c r="AY265" s="204"/>
      <c r="AZ265" s="204"/>
      <c r="BA265" s="204"/>
      <c r="BB265" s="204"/>
      <c r="BC265" s="204"/>
      <c r="BD265" s="204"/>
      <c r="BE265" s="204"/>
      <c r="BF265" s="204"/>
      <c r="BG265" s="204"/>
      <c r="BH265" s="204"/>
      <c r="BI265" s="204"/>
      <c r="BJ265" s="204"/>
      <c r="BK265" s="204"/>
      <c r="BL265" s="204"/>
      <c r="BM265" s="204"/>
      <c r="BN265" s="204"/>
      <c r="BO265" s="204"/>
      <c r="BP265" s="204"/>
      <c r="BQ265" s="204"/>
      <c r="BR265" s="204"/>
      <c r="BS265" s="204"/>
      <c r="BT265" s="204"/>
      <c r="BU265" s="204"/>
      <c r="BV265" s="204"/>
      <c r="BW265" s="204"/>
      <c r="BX265" s="204"/>
      <c r="BY265" s="204"/>
      <c r="BZ265" s="204"/>
      <c r="CA265" s="204"/>
      <c r="CB265" s="207"/>
      <c r="CM265" s="209"/>
    </row>
    <row r="266" ht="15.75" customHeight="1">
      <c r="A266" s="200"/>
      <c r="B266" s="200"/>
      <c r="C266" s="200"/>
      <c r="D266" s="200"/>
      <c r="F266" s="234"/>
      <c r="G266" s="234"/>
      <c r="H266" s="235"/>
      <c r="I266" s="191"/>
      <c r="J266" s="191"/>
      <c r="K266" s="198"/>
      <c r="L266" s="198"/>
      <c r="M266" s="198"/>
      <c r="N266" s="198"/>
      <c r="O266" s="198"/>
      <c r="P266" s="198"/>
      <c r="Q266" s="198"/>
      <c r="S266" s="200"/>
      <c r="W266" s="207"/>
      <c r="AH266" s="204"/>
      <c r="AI266" s="204"/>
      <c r="AJ266" s="204"/>
      <c r="AK266" s="204"/>
      <c r="AL266" s="204"/>
      <c r="AM266" s="204"/>
      <c r="AN266" s="204"/>
      <c r="AX266" s="204"/>
      <c r="AY266" s="204"/>
      <c r="AZ266" s="204"/>
      <c r="BA266" s="204"/>
      <c r="BB266" s="204"/>
      <c r="BC266" s="204"/>
      <c r="BD266" s="204"/>
      <c r="BE266" s="204"/>
      <c r="BF266" s="204"/>
      <c r="BG266" s="204"/>
      <c r="BH266" s="204"/>
      <c r="BI266" s="204"/>
      <c r="BJ266" s="204"/>
      <c r="BK266" s="204"/>
      <c r="BL266" s="204"/>
      <c r="BM266" s="204"/>
      <c r="BN266" s="204"/>
      <c r="BO266" s="204"/>
      <c r="BP266" s="204"/>
      <c r="BQ266" s="204"/>
      <c r="BR266" s="204"/>
      <c r="BS266" s="204"/>
      <c r="BT266" s="204"/>
      <c r="BU266" s="204"/>
      <c r="BV266" s="204"/>
      <c r="BW266" s="204"/>
      <c r="BX266" s="204"/>
      <c r="BY266" s="204"/>
      <c r="BZ266" s="204"/>
      <c r="CA266" s="204"/>
      <c r="CB266" s="207"/>
      <c r="CM266" s="209"/>
    </row>
    <row r="267" ht="15.75" customHeight="1">
      <c r="A267" s="200"/>
      <c r="B267" s="200"/>
      <c r="C267" s="200"/>
      <c r="D267" s="200"/>
      <c r="F267" s="234"/>
      <c r="G267" s="234"/>
      <c r="H267" s="235"/>
      <c r="I267" s="191"/>
      <c r="J267" s="191"/>
      <c r="K267" s="198"/>
      <c r="L267" s="198"/>
      <c r="M267" s="198"/>
      <c r="N267" s="198"/>
      <c r="O267" s="198"/>
      <c r="P267" s="198"/>
      <c r="Q267" s="198"/>
      <c r="S267" s="200"/>
      <c r="W267" s="207"/>
      <c r="AH267" s="204"/>
      <c r="AI267" s="204"/>
      <c r="AJ267" s="204"/>
      <c r="AK267" s="204"/>
      <c r="AL267" s="204"/>
      <c r="AM267" s="204"/>
      <c r="AN267" s="204"/>
      <c r="AX267" s="204"/>
      <c r="AY267" s="204"/>
      <c r="AZ267" s="204"/>
      <c r="BA267" s="204"/>
      <c r="BB267" s="204"/>
      <c r="BC267" s="204"/>
      <c r="BD267" s="204"/>
      <c r="BE267" s="204"/>
      <c r="BF267" s="204"/>
      <c r="BG267" s="204"/>
      <c r="BH267" s="204"/>
      <c r="BI267" s="204"/>
      <c r="BJ267" s="204"/>
      <c r="BK267" s="204"/>
      <c r="BL267" s="204"/>
      <c r="BM267" s="204"/>
      <c r="BN267" s="204"/>
      <c r="BO267" s="204"/>
      <c r="BP267" s="204"/>
      <c r="BQ267" s="204"/>
      <c r="BR267" s="204"/>
      <c r="BS267" s="204"/>
      <c r="BT267" s="204"/>
      <c r="BU267" s="204"/>
      <c r="BV267" s="204"/>
      <c r="BW267" s="204"/>
      <c r="BX267" s="204"/>
      <c r="BY267" s="204"/>
      <c r="BZ267" s="204"/>
      <c r="CA267" s="204"/>
      <c r="CB267" s="207"/>
      <c r="CM267" s="209"/>
    </row>
    <row r="268" ht="15.75" customHeight="1">
      <c r="A268" s="200"/>
      <c r="B268" s="200"/>
      <c r="C268" s="200"/>
      <c r="D268" s="200"/>
      <c r="F268" s="234"/>
      <c r="G268" s="234"/>
      <c r="H268" s="235"/>
      <c r="I268" s="191"/>
      <c r="J268" s="191"/>
      <c r="K268" s="198"/>
      <c r="L268" s="198"/>
      <c r="M268" s="198"/>
      <c r="N268" s="198"/>
      <c r="O268" s="198"/>
      <c r="P268" s="198"/>
      <c r="Q268" s="198"/>
      <c r="S268" s="200"/>
      <c r="W268" s="207"/>
      <c r="AH268" s="204"/>
      <c r="AI268" s="204"/>
      <c r="AJ268" s="204"/>
      <c r="AK268" s="204"/>
      <c r="AL268" s="204"/>
      <c r="AM268" s="204"/>
      <c r="AN268" s="204"/>
      <c r="AX268" s="204"/>
      <c r="AY268" s="204"/>
      <c r="AZ268" s="204"/>
      <c r="BA268" s="204"/>
      <c r="BB268" s="204"/>
      <c r="BC268" s="204"/>
      <c r="BD268" s="204"/>
      <c r="BE268" s="204"/>
      <c r="BF268" s="204"/>
      <c r="BG268" s="204"/>
      <c r="BH268" s="204"/>
      <c r="BI268" s="204"/>
      <c r="BJ268" s="204"/>
      <c r="BK268" s="204"/>
      <c r="BL268" s="204"/>
      <c r="BM268" s="204"/>
      <c r="BN268" s="204"/>
      <c r="BO268" s="204"/>
      <c r="BP268" s="204"/>
      <c r="BQ268" s="204"/>
      <c r="BR268" s="204"/>
      <c r="BS268" s="204"/>
      <c r="BT268" s="204"/>
      <c r="BU268" s="204"/>
      <c r="BV268" s="204"/>
      <c r="BW268" s="204"/>
      <c r="BX268" s="204"/>
      <c r="BY268" s="204"/>
      <c r="BZ268" s="204"/>
      <c r="CA268" s="204"/>
      <c r="CB268" s="207"/>
      <c r="CM268" s="209"/>
    </row>
    <row r="269" ht="15.75" customHeight="1">
      <c r="A269" s="200"/>
      <c r="B269" s="200"/>
      <c r="C269" s="200"/>
      <c r="D269" s="200"/>
      <c r="F269" s="234"/>
      <c r="G269" s="234"/>
      <c r="H269" s="235"/>
      <c r="I269" s="191"/>
      <c r="J269" s="191"/>
      <c r="K269" s="198"/>
      <c r="L269" s="198"/>
      <c r="M269" s="198"/>
      <c r="N269" s="198"/>
      <c r="O269" s="198"/>
      <c r="P269" s="198"/>
      <c r="Q269" s="198"/>
      <c r="S269" s="200"/>
      <c r="W269" s="207"/>
      <c r="AH269" s="204"/>
      <c r="AI269" s="204"/>
      <c r="AJ269" s="204"/>
      <c r="AK269" s="204"/>
      <c r="AL269" s="204"/>
      <c r="AM269" s="204"/>
      <c r="AN269" s="204"/>
      <c r="AX269" s="204"/>
      <c r="AY269" s="204"/>
      <c r="AZ269" s="204"/>
      <c r="BA269" s="204"/>
      <c r="BB269" s="204"/>
      <c r="BC269" s="204"/>
      <c r="BD269" s="204"/>
      <c r="BE269" s="204"/>
      <c r="BF269" s="204"/>
      <c r="BG269" s="204"/>
      <c r="BH269" s="204"/>
      <c r="BI269" s="204"/>
      <c r="BJ269" s="204"/>
      <c r="BK269" s="204"/>
      <c r="BL269" s="204"/>
      <c r="BM269" s="204"/>
      <c r="BN269" s="204"/>
      <c r="BO269" s="204"/>
      <c r="BP269" s="204"/>
      <c r="BQ269" s="204"/>
      <c r="BR269" s="204"/>
      <c r="BS269" s="204"/>
      <c r="BT269" s="204"/>
      <c r="BU269" s="204"/>
      <c r="BV269" s="204"/>
      <c r="BW269" s="204"/>
      <c r="BX269" s="204"/>
      <c r="BY269" s="204"/>
      <c r="BZ269" s="204"/>
      <c r="CA269" s="204"/>
      <c r="CB269" s="207"/>
      <c r="CM269" s="209"/>
    </row>
    <row r="270" ht="15.75" customHeight="1">
      <c r="A270" s="200"/>
      <c r="B270" s="200"/>
      <c r="C270" s="200"/>
      <c r="D270" s="200"/>
      <c r="F270" s="234"/>
      <c r="G270" s="234"/>
      <c r="H270" s="235"/>
      <c r="I270" s="191"/>
      <c r="J270" s="191"/>
      <c r="K270" s="198"/>
      <c r="L270" s="198"/>
      <c r="M270" s="198"/>
      <c r="N270" s="198"/>
      <c r="O270" s="198"/>
      <c r="P270" s="198"/>
      <c r="Q270" s="198"/>
      <c r="S270" s="200"/>
      <c r="W270" s="207"/>
      <c r="AH270" s="204"/>
      <c r="AI270" s="204"/>
      <c r="AJ270" s="204"/>
      <c r="AK270" s="204"/>
      <c r="AL270" s="204"/>
      <c r="AM270" s="204"/>
      <c r="AN270" s="204"/>
      <c r="AX270" s="204"/>
      <c r="AY270" s="204"/>
      <c r="AZ270" s="204"/>
      <c r="BA270" s="204"/>
      <c r="BB270" s="204"/>
      <c r="BC270" s="204"/>
      <c r="BD270" s="204"/>
      <c r="BE270" s="204"/>
      <c r="BF270" s="204"/>
      <c r="BG270" s="204"/>
      <c r="BH270" s="204"/>
      <c r="BI270" s="204"/>
      <c r="BJ270" s="204"/>
      <c r="BK270" s="204"/>
      <c r="BL270" s="204"/>
      <c r="BM270" s="204"/>
      <c r="BN270" s="204"/>
      <c r="BO270" s="204"/>
      <c r="BP270" s="204"/>
      <c r="BQ270" s="204"/>
      <c r="BR270" s="204"/>
      <c r="BS270" s="204"/>
      <c r="BT270" s="204"/>
      <c r="BU270" s="204"/>
      <c r="BV270" s="204"/>
      <c r="BW270" s="204"/>
      <c r="BX270" s="204"/>
      <c r="BY270" s="204"/>
      <c r="BZ270" s="204"/>
      <c r="CA270" s="204"/>
      <c r="CB270" s="207"/>
      <c r="CM270" s="209"/>
    </row>
    <row r="271" ht="15.75" customHeight="1">
      <c r="A271" s="200"/>
      <c r="B271" s="200"/>
      <c r="C271" s="200"/>
      <c r="D271" s="200"/>
      <c r="F271" s="234"/>
      <c r="G271" s="234"/>
      <c r="H271" s="235"/>
      <c r="I271" s="191"/>
      <c r="J271" s="191"/>
      <c r="K271" s="198"/>
      <c r="L271" s="198"/>
      <c r="M271" s="198"/>
      <c r="N271" s="198"/>
      <c r="O271" s="198"/>
      <c r="P271" s="198"/>
      <c r="Q271" s="198"/>
      <c r="S271" s="200"/>
      <c r="W271" s="207"/>
      <c r="AH271" s="204"/>
      <c r="AI271" s="204"/>
      <c r="AJ271" s="204"/>
      <c r="AK271" s="204"/>
      <c r="AL271" s="204"/>
      <c r="AM271" s="204"/>
      <c r="AN271" s="204"/>
      <c r="AX271" s="204"/>
      <c r="AY271" s="204"/>
      <c r="AZ271" s="204"/>
      <c r="BA271" s="204"/>
      <c r="BB271" s="204"/>
      <c r="BC271" s="204"/>
      <c r="BD271" s="204"/>
      <c r="BE271" s="204"/>
      <c r="BF271" s="204"/>
      <c r="BG271" s="204"/>
      <c r="BH271" s="204"/>
      <c r="BI271" s="204"/>
      <c r="BJ271" s="204"/>
      <c r="BK271" s="204"/>
      <c r="BL271" s="204"/>
      <c r="BM271" s="204"/>
      <c r="BN271" s="204"/>
      <c r="BO271" s="204"/>
      <c r="BP271" s="204"/>
      <c r="BQ271" s="204"/>
      <c r="BR271" s="204"/>
      <c r="BS271" s="204"/>
      <c r="BT271" s="204"/>
      <c r="BU271" s="204"/>
      <c r="BV271" s="204"/>
      <c r="BW271" s="204"/>
      <c r="BX271" s="204"/>
      <c r="BY271" s="204"/>
      <c r="BZ271" s="204"/>
      <c r="CA271" s="204"/>
      <c r="CB271" s="207"/>
      <c r="CM271" s="209"/>
    </row>
    <row r="272" ht="15.75" customHeight="1">
      <c r="A272" s="200"/>
      <c r="B272" s="200"/>
      <c r="C272" s="200"/>
      <c r="D272" s="200"/>
      <c r="F272" s="234"/>
      <c r="G272" s="234"/>
      <c r="H272" s="235"/>
      <c r="I272" s="191"/>
      <c r="J272" s="191"/>
      <c r="K272" s="198"/>
      <c r="L272" s="198"/>
      <c r="M272" s="198"/>
      <c r="N272" s="198"/>
      <c r="O272" s="198"/>
      <c r="P272" s="198"/>
      <c r="Q272" s="198"/>
      <c r="S272" s="200"/>
      <c r="W272" s="207"/>
      <c r="AH272" s="204"/>
      <c r="AI272" s="204"/>
      <c r="AJ272" s="204"/>
      <c r="AK272" s="204"/>
      <c r="AL272" s="204"/>
      <c r="AM272" s="204"/>
      <c r="AN272" s="204"/>
      <c r="AX272" s="204"/>
      <c r="AY272" s="204"/>
      <c r="AZ272" s="204"/>
      <c r="BA272" s="204"/>
      <c r="BB272" s="204"/>
      <c r="BC272" s="204"/>
      <c r="BD272" s="204"/>
      <c r="BE272" s="204"/>
      <c r="BF272" s="204"/>
      <c r="BG272" s="204"/>
      <c r="BH272" s="204"/>
      <c r="BI272" s="204"/>
      <c r="BJ272" s="204"/>
      <c r="BK272" s="204"/>
      <c r="BL272" s="204"/>
      <c r="BM272" s="204"/>
      <c r="BN272" s="204"/>
      <c r="BO272" s="204"/>
      <c r="BP272" s="204"/>
      <c r="BQ272" s="204"/>
      <c r="BR272" s="204"/>
      <c r="BS272" s="204"/>
      <c r="BT272" s="204"/>
      <c r="BU272" s="204"/>
      <c r="BV272" s="204"/>
      <c r="BW272" s="204"/>
      <c r="BX272" s="204"/>
      <c r="BY272" s="204"/>
      <c r="BZ272" s="204"/>
      <c r="CA272" s="204"/>
      <c r="CB272" s="207"/>
      <c r="CM272" s="209"/>
    </row>
    <row r="273" ht="15.75" customHeight="1">
      <c r="A273" s="200"/>
      <c r="B273" s="200"/>
      <c r="C273" s="200"/>
      <c r="D273" s="200"/>
      <c r="F273" s="234"/>
      <c r="G273" s="234"/>
      <c r="H273" s="235"/>
      <c r="I273" s="191"/>
      <c r="J273" s="191"/>
      <c r="K273" s="198"/>
      <c r="L273" s="198"/>
      <c r="M273" s="198"/>
      <c r="N273" s="198"/>
      <c r="O273" s="198"/>
      <c r="P273" s="198"/>
      <c r="Q273" s="198"/>
      <c r="S273" s="200"/>
      <c r="W273" s="207"/>
      <c r="AH273" s="204"/>
      <c r="AI273" s="204"/>
      <c r="AJ273" s="204"/>
      <c r="AK273" s="204"/>
      <c r="AL273" s="204"/>
      <c r="AM273" s="204"/>
      <c r="AN273" s="204"/>
      <c r="AX273" s="204"/>
      <c r="AY273" s="204"/>
      <c r="AZ273" s="204"/>
      <c r="BA273" s="204"/>
      <c r="BB273" s="204"/>
      <c r="BC273" s="204"/>
      <c r="BD273" s="204"/>
      <c r="BE273" s="204"/>
      <c r="BF273" s="204"/>
      <c r="BG273" s="204"/>
      <c r="BH273" s="204"/>
      <c r="BI273" s="204"/>
      <c r="BJ273" s="204"/>
      <c r="BK273" s="204"/>
      <c r="BL273" s="204"/>
      <c r="BM273" s="204"/>
      <c r="BN273" s="204"/>
      <c r="BO273" s="204"/>
      <c r="BP273" s="204"/>
      <c r="BQ273" s="204"/>
      <c r="BR273" s="204"/>
      <c r="BS273" s="204"/>
      <c r="BT273" s="204"/>
      <c r="BU273" s="204"/>
      <c r="BV273" s="204"/>
      <c r="BW273" s="204"/>
      <c r="BX273" s="204"/>
      <c r="BY273" s="204"/>
      <c r="BZ273" s="204"/>
      <c r="CA273" s="204"/>
      <c r="CB273" s="207"/>
      <c r="CM273" s="209"/>
    </row>
    <row r="274" ht="15.75" customHeight="1">
      <c r="A274" s="200"/>
      <c r="B274" s="200"/>
      <c r="C274" s="200"/>
      <c r="D274" s="200"/>
      <c r="F274" s="234"/>
      <c r="G274" s="234"/>
      <c r="H274" s="235"/>
      <c r="I274" s="191"/>
      <c r="J274" s="191"/>
      <c r="K274" s="198"/>
      <c r="L274" s="198"/>
      <c r="M274" s="198"/>
      <c r="N274" s="198"/>
      <c r="O274" s="198"/>
      <c r="P274" s="198"/>
      <c r="Q274" s="198"/>
      <c r="S274" s="200"/>
      <c r="W274" s="207"/>
      <c r="AH274" s="204"/>
      <c r="AI274" s="204"/>
      <c r="AJ274" s="204"/>
      <c r="AK274" s="204"/>
      <c r="AL274" s="204"/>
      <c r="AM274" s="204"/>
      <c r="AN274" s="204"/>
      <c r="AX274" s="204"/>
      <c r="AY274" s="204"/>
      <c r="AZ274" s="204"/>
      <c r="BA274" s="204"/>
      <c r="BB274" s="204"/>
      <c r="BC274" s="204"/>
      <c r="BD274" s="204"/>
      <c r="BE274" s="204"/>
      <c r="BF274" s="204"/>
      <c r="BG274" s="204"/>
      <c r="BH274" s="204"/>
      <c r="BI274" s="204"/>
      <c r="BJ274" s="204"/>
      <c r="BK274" s="204"/>
      <c r="BL274" s="204"/>
      <c r="BM274" s="204"/>
      <c r="BN274" s="204"/>
      <c r="BO274" s="204"/>
      <c r="BP274" s="204"/>
      <c r="BQ274" s="204"/>
      <c r="BR274" s="204"/>
      <c r="BS274" s="204"/>
      <c r="BT274" s="204"/>
      <c r="BU274" s="204"/>
      <c r="BV274" s="204"/>
      <c r="BW274" s="204"/>
      <c r="BX274" s="204"/>
      <c r="BY274" s="204"/>
      <c r="BZ274" s="204"/>
      <c r="CA274" s="204"/>
      <c r="CB274" s="207"/>
      <c r="CM274" s="209"/>
    </row>
    <row r="275" ht="15.75" customHeight="1">
      <c r="A275" s="200"/>
      <c r="B275" s="200"/>
      <c r="C275" s="200"/>
      <c r="D275" s="200"/>
      <c r="F275" s="234"/>
      <c r="G275" s="234"/>
      <c r="H275" s="235"/>
      <c r="I275" s="191"/>
      <c r="J275" s="191"/>
      <c r="K275" s="198"/>
      <c r="L275" s="198"/>
      <c r="M275" s="198"/>
      <c r="N275" s="198"/>
      <c r="O275" s="198"/>
      <c r="P275" s="198"/>
      <c r="Q275" s="198"/>
      <c r="S275" s="200"/>
      <c r="W275" s="207"/>
      <c r="AH275" s="204"/>
      <c r="AI275" s="204"/>
      <c r="AJ275" s="204"/>
      <c r="AK275" s="204"/>
      <c r="AL275" s="204"/>
      <c r="AM275" s="204"/>
      <c r="AN275" s="204"/>
      <c r="AX275" s="204"/>
      <c r="AY275" s="204"/>
      <c r="AZ275" s="204"/>
      <c r="BA275" s="204"/>
      <c r="BB275" s="204"/>
      <c r="BC275" s="204"/>
      <c r="BD275" s="204"/>
      <c r="BE275" s="204"/>
      <c r="BF275" s="204"/>
      <c r="BG275" s="204"/>
      <c r="BH275" s="204"/>
      <c r="BI275" s="204"/>
      <c r="BJ275" s="204"/>
      <c r="BK275" s="204"/>
      <c r="BL275" s="204"/>
      <c r="BM275" s="204"/>
      <c r="BN275" s="204"/>
      <c r="BO275" s="204"/>
      <c r="BP275" s="204"/>
      <c r="BQ275" s="204"/>
      <c r="BR275" s="204"/>
      <c r="BS275" s="204"/>
      <c r="BT275" s="204"/>
      <c r="BU275" s="204"/>
      <c r="BV275" s="204"/>
      <c r="BW275" s="204"/>
      <c r="BX275" s="204"/>
      <c r="BY275" s="204"/>
      <c r="BZ275" s="204"/>
      <c r="CA275" s="204"/>
      <c r="CB275" s="207"/>
      <c r="CM275" s="209"/>
    </row>
    <row r="276" ht="15.75" customHeight="1">
      <c r="A276" s="200"/>
      <c r="B276" s="200"/>
      <c r="C276" s="200"/>
      <c r="D276" s="200"/>
      <c r="F276" s="234"/>
      <c r="G276" s="234"/>
      <c r="H276" s="235"/>
      <c r="I276" s="191"/>
      <c r="J276" s="191"/>
      <c r="K276" s="198"/>
      <c r="L276" s="198"/>
      <c r="M276" s="198"/>
      <c r="N276" s="198"/>
      <c r="O276" s="198"/>
      <c r="P276" s="198"/>
      <c r="Q276" s="198"/>
      <c r="S276" s="200"/>
      <c r="W276" s="207"/>
      <c r="AH276" s="204"/>
      <c r="AI276" s="204"/>
      <c r="AJ276" s="204"/>
      <c r="AK276" s="204"/>
      <c r="AL276" s="204"/>
      <c r="AM276" s="204"/>
      <c r="AN276" s="204"/>
      <c r="AX276" s="204"/>
      <c r="AY276" s="204"/>
      <c r="AZ276" s="204"/>
      <c r="BA276" s="204"/>
      <c r="BB276" s="204"/>
      <c r="BC276" s="204"/>
      <c r="BD276" s="204"/>
      <c r="BE276" s="204"/>
      <c r="BF276" s="204"/>
      <c r="BG276" s="204"/>
      <c r="BH276" s="204"/>
      <c r="BI276" s="204"/>
      <c r="BJ276" s="204"/>
      <c r="BK276" s="204"/>
      <c r="BL276" s="204"/>
      <c r="BM276" s="204"/>
      <c r="BN276" s="204"/>
      <c r="BO276" s="204"/>
      <c r="BP276" s="204"/>
      <c r="BQ276" s="204"/>
      <c r="BR276" s="204"/>
      <c r="BS276" s="204"/>
      <c r="BT276" s="204"/>
      <c r="BU276" s="204"/>
      <c r="BV276" s="204"/>
      <c r="BW276" s="204"/>
      <c r="BX276" s="204"/>
      <c r="BY276" s="204"/>
      <c r="BZ276" s="204"/>
      <c r="CA276" s="204"/>
      <c r="CB276" s="207"/>
      <c r="CM276" s="209"/>
    </row>
    <row r="277" ht="15.75" customHeight="1">
      <c r="A277" s="200"/>
      <c r="B277" s="200"/>
      <c r="C277" s="200"/>
      <c r="D277" s="200"/>
      <c r="F277" s="234"/>
      <c r="G277" s="234"/>
      <c r="H277" s="235"/>
      <c r="I277" s="191"/>
      <c r="J277" s="191"/>
      <c r="K277" s="198"/>
      <c r="L277" s="198"/>
      <c r="M277" s="198"/>
      <c r="N277" s="198"/>
      <c r="O277" s="198"/>
      <c r="P277" s="198"/>
      <c r="Q277" s="198"/>
      <c r="S277" s="200"/>
      <c r="W277" s="207"/>
      <c r="AH277" s="204"/>
      <c r="AI277" s="204"/>
      <c r="AJ277" s="204"/>
      <c r="AK277" s="204"/>
      <c r="AL277" s="204"/>
      <c r="AM277" s="204"/>
      <c r="AN277" s="204"/>
      <c r="AX277" s="204"/>
      <c r="AY277" s="204"/>
      <c r="AZ277" s="204"/>
      <c r="BA277" s="204"/>
      <c r="BB277" s="204"/>
      <c r="BC277" s="204"/>
      <c r="BD277" s="204"/>
      <c r="BE277" s="204"/>
      <c r="BF277" s="204"/>
      <c r="BG277" s="204"/>
      <c r="BH277" s="204"/>
      <c r="BI277" s="204"/>
      <c r="BJ277" s="204"/>
      <c r="BK277" s="204"/>
      <c r="BL277" s="204"/>
      <c r="BM277" s="204"/>
      <c r="BN277" s="204"/>
      <c r="BO277" s="204"/>
      <c r="BP277" s="204"/>
      <c r="BQ277" s="204"/>
      <c r="BR277" s="204"/>
      <c r="BS277" s="204"/>
      <c r="BT277" s="204"/>
      <c r="BU277" s="204"/>
      <c r="BV277" s="204"/>
      <c r="BW277" s="204"/>
      <c r="BX277" s="204"/>
      <c r="BY277" s="204"/>
      <c r="BZ277" s="204"/>
      <c r="CA277" s="204"/>
      <c r="CB277" s="207"/>
      <c r="CM277" s="209"/>
    </row>
    <row r="278" ht="15.75" customHeight="1">
      <c r="A278" s="200"/>
      <c r="B278" s="200"/>
      <c r="C278" s="200"/>
      <c r="D278" s="200"/>
      <c r="F278" s="234"/>
      <c r="G278" s="234"/>
      <c r="H278" s="235"/>
      <c r="I278" s="191"/>
      <c r="J278" s="191"/>
      <c r="K278" s="198"/>
      <c r="L278" s="198"/>
      <c r="M278" s="198"/>
      <c r="N278" s="198"/>
      <c r="O278" s="198"/>
      <c r="P278" s="198"/>
      <c r="Q278" s="198"/>
      <c r="S278" s="200"/>
      <c r="W278" s="207"/>
      <c r="AH278" s="204"/>
      <c r="AI278" s="204"/>
      <c r="AJ278" s="204"/>
      <c r="AK278" s="204"/>
      <c r="AL278" s="204"/>
      <c r="AM278" s="204"/>
      <c r="AN278" s="204"/>
      <c r="AX278" s="204"/>
      <c r="AY278" s="204"/>
      <c r="AZ278" s="204"/>
      <c r="BA278" s="204"/>
      <c r="BB278" s="204"/>
      <c r="BC278" s="204"/>
      <c r="BD278" s="204"/>
      <c r="BE278" s="204"/>
      <c r="BF278" s="204"/>
      <c r="BG278" s="204"/>
      <c r="BH278" s="204"/>
      <c r="BI278" s="204"/>
      <c r="BJ278" s="204"/>
      <c r="BK278" s="204"/>
      <c r="BL278" s="204"/>
      <c r="BM278" s="204"/>
      <c r="BN278" s="204"/>
      <c r="BO278" s="204"/>
      <c r="BP278" s="204"/>
      <c r="BQ278" s="204"/>
      <c r="BR278" s="204"/>
      <c r="BS278" s="204"/>
      <c r="BT278" s="204"/>
      <c r="BU278" s="204"/>
      <c r="BV278" s="204"/>
      <c r="BW278" s="204"/>
      <c r="BX278" s="204"/>
      <c r="BY278" s="204"/>
      <c r="BZ278" s="204"/>
      <c r="CA278" s="204"/>
      <c r="CB278" s="207"/>
      <c r="CM278" s="209"/>
    </row>
    <row r="279" ht="15.75" customHeight="1">
      <c r="A279" s="200"/>
      <c r="B279" s="200"/>
      <c r="C279" s="200"/>
      <c r="D279" s="200"/>
      <c r="F279" s="234"/>
      <c r="G279" s="234"/>
      <c r="H279" s="235"/>
      <c r="I279" s="191"/>
      <c r="J279" s="191"/>
      <c r="K279" s="198"/>
      <c r="L279" s="198"/>
      <c r="M279" s="198"/>
      <c r="N279" s="198"/>
      <c r="O279" s="198"/>
      <c r="P279" s="198"/>
      <c r="Q279" s="198"/>
      <c r="S279" s="200"/>
      <c r="W279" s="207"/>
      <c r="AH279" s="204"/>
      <c r="AI279" s="204"/>
      <c r="AJ279" s="204"/>
      <c r="AK279" s="204"/>
      <c r="AL279" s="204"/>
      <c r="AM279" s="204"/>
      <c r="AN279" s="204"/>
      <c r="AX279" s="204"/>
      <c r="AY279" s="204"/>
      <c r="AZ279" s="204"/>
      <c r="BA279" s="204"/>
      <c r="BB279" s="204"/>
      <c r="BC279" s="204"/>
      <c r="BD279" s="204"/>
      <c r="BE279" s="204"/>
      <c r="BF279" s="204"/>
      <c r="BG279" s="204"/>
      <c r="BH279" s="204"/>
      <c r="BI279" s="204"/>
      <c r="BJ279" s="204"/>
      <c r="BK279" s="204"/>
      <c r="BL279" s="204"/>
      <c r="BM279" s="204"/>
      <c r="BN279" s="204"/>
      <c r="BO279" s="204"/>
      <c r="BP279" s="204"/>
      <c r="BQ279" s="204"/>
      <c r="BR279" s="204"/>
      <c r="BS279" s="204"/>
      <c r="BT279" s="204"/>
      <c r="BU279" s="204"/>
      <c r="BV279" s="204"/>
      <c r="BW279" s="204"/>
      <c r="BX279" s="204"/>
      <c r="BY279" s="204"/>
      <c r="BZ279" s="204"/>
      <c r="CA279" s="204"/>
      <c r="CB279" s="207"/>
      <c r="CM279" s="209"/>
    </row>
    <row r="280" ht="15.75" customHeight="1">
      <c r="A280" s="200"/>
      <c r="B280" s="200"/>
      <c r="C280" s="200"/>
      <c r="D280" s="200"/>
      <c r="F280" s="234"/>
      <c r="G280" s="234"/>
      <c r="H280" s="235"/>
      <c r="I280" s="191"/>
      <c r="J280" s="191"/>
      <c r="K280" s="198"/>
      <c r="L280" s="198"/>
      <c r="M280" s="198"/>
      <c r="N280" s="198"/>
      <c r="O280" s="198"/>
      <c r="P280" s="198"/>
      <c r="Q280" s="198"/>
      <c r="S280" s="200"/>
      <c r="W280" s="207"/>
      <c r="AH280" s="204"/>
      <c r="AI280" s="204"/>
      <c r="AJ280" s="204"/>
      <c r="AK280" s="204"/>
      <c r="AL280" s="204"/>
      <c r="AM280" s="204"/>
      <c r="AN280" s="204"/>
      <c r="AX280" s="204"/>
      <c r="AY280" s="204"/>
      <c r="AZ280" s="204"/>
      <c r="BA280" s="204"/>
      <c r="BB280" s="204"/>
      <c r="BC280" s="204"/>
      <c r="BD280" s="204"/>
      <c r="BE280" s="204"/>
      <c r="BF280" s="204"/>
      <c r="BG280" s="204"/>
      <c r="BH280" s="204"/>
      <c r="BI280" s="204"/>
      <c r="BJ280" s="204"/>
      <c r="BK280" s="204"/>
      <c r="BL280" s="204"/>
      <c r="BM280" s="204"/>
      <c r="BN280" s="204"/>
      <c r="BO280" s="204"/>
      <c r="BP280" s="204"/>
      <c r="BQ280" s="204"/>
      <c r="BR280" s="204"/>
      <c r="BS280" s="204"/>
      <c r="BT280" s="204"/>
      <c r="BU280" s="204"/>
      <c r="BV280" s="204"/>
      <c r="BW280" s="204"/>
      <c r="BX280" s="204"/>
      <c r="BY280" s="204"/>
      <c r="BZ280" s="204"/>
      <c r="CA280" s="204"/>
      <c r="CB280" s="207"/>
      <c r="CM280" s="209"/>
    </row>
    <row r="281" ht="15.75" customHeight="1">
      <c r="A281" s="200"/>
      <c r="B281" s="200"/>
      <c r="C281" s="200"/>
      <c r="D281" s="200"/>
      <c r="F281" s="234"/>
      <c r="G281" s="234"/>
      <c r="H281" s="235"/>
      <c r="I281" s="191"/>
      <c r="J281" s="191"/>
      <c r="K281" s="198"/>
      <c r="L281" s="198"/>
      <c r="M281" s="198"/>
      <c r="N281" s="198"/>
      <c r="O281" s="198"/>
      <c r="P281" s="198"/>
      <c r="Q281" s="198"/>
      <c r="S281" s="200"/>
      <c r="W281" s="207"/>
      <c r="AH281" s="204"/>
      <c r="AI281" s="204"/>
      <c r="AJ281" s="204"/>
      <c r="AK281" s="204"/>
      <c r="AL281" s="204"/>
      <c r="AM281" s="204"/>
      <c r="AN281" s="204"/>
      <c r="AX281" s="204"/>
      <c r="AY281" s="204"/>
      <c r="AZ281" s="204"/>
      <c r="BA281" s="204"/>
      <c r="BB281" s="204"/>
      <c r="BC281" s="204"/>
      <c r="BD281" s="204"/>
      <c r="BE281" s="204"/>
      <c r="BF281" s="204"/>
      <c r="BG281" s="204"/>
      <c r="BH281" s="204"/>
      <c r="BI281" s="204"/>
      <c r="BJ281" s="204"/>
      <c r="BK281" s="204"/>
      <c r="BL281" s="204"/>
      <c r="BM281" s="204"/>
      <c r="BN281" s="204"/>
      <c r="BO281" s="204"/>
      <c r="BP281" s="204"/>
      <c r="BQ281" s="204"/>
      <c r="BR281" s="204"/>
      <c r="BS281" s="204"/>
      <c r="BT281" s="204"/>
      <c r="BU281" s="204"/>
      <c r="BV281" s="204"/>
      <c r="BW281" s="204"/>
      <c r="BX281" s="204"/>
      <c r="BY281" s="204"/>
      <c r="BZ281" s="204"/>
      <c r="CA281" s="204"/>
      <c r="CB281" s="207"/>
      <c r="CM281" s="209"/>
    </row>
    <row r="282" ht="15.75" customHeight="1">
      <c r="A282" s="200"/>
      <c r="B282" s="200"/>
      <c r="C282" s="200"/>
      <c r="D282" s="200"/>
      <c r="F282" s="234"/>
      <c r="G282" s="234"/>
      <c r="H282" s="235"/>
      <c r="I282" s="191"/>
      <c r="J282" s="191"/>
      <c r="K282" s="198"/>
      <c r="L282" s="198"/>
      <c r="M282" s="198"/>
      <c r="N282" s="198"/>
      <c r="O282" s="198"/>
      <c r="P282" s="198"/>
      <c r="Q282" s="198"/>
      <c r="S282" s="200"/>
      <c r="W282" s="207"/>
      <c r="AH282" s="204"/>
      <c r="AI282" s="204"/>
      <c r="AJ282" s="204"/>
      <c r="AK282" s="204"/>
      <c r="AL282" s="204"/>
      <c r="AM282" s="204"/>
      <c r="AN282" s="204"/>
      <c r="AX282" s="204"/>
      <c r="AY282" s="204"/>
      <c r="AZ282" s="204"/>
      <c r="BA282" s="204"/>
      <c r="BB282" s="204"/>
      <c r="BC282" s="204"/>
      <c r="BD282" s="204"/>
      <c r="BE282" s="204"/>
      <c r="BF282" s="204"/>
      <c r="BG282" s="204"/>
      <c r="BH282" s="204"/>
      <c r="BI282" s="204"/>
      <c r="BJ282" s="204"/>
      <c r="BK282" s="204"/>
      <c r="BL282" s="204"/>
      <c r="BM282" s="204"/>
      <c r="BN282" s="204"/>
      <c r="BO282" s="204"/>
      <c r="BP282" s="204"/>
      <c r="BQ282" s="204"/>
      <c r="BR282" s="204"/>
      <c r="BS282" s="204"/>
      <c r="BT282" s="204"/>
      <c r="BU282" s="204"/>
      <c r="BV282" s="204"/>
      <c r="BW282" s="204"/>
      <c r="BX282" s="204"/>
      <c r="BY282" s="204"/>
      <c r="BZ282" s="204"/>
      <c r="CA282" s="204"/>
      <c r="CB282" s="207"/>
      <c r="CM282" s="209"/>
    </row>
    <row r="283" ht="15.75" customHeight="1">
      <c r="A283" s="200"/>
      <c r="B283" s="200"/>
      <c r="C283" s="200"/>
      <c r="D283" s="200"/>
      <c r="F283" s="234"/>
      <c r="G283" s="234"/>
      <c r="H283" s="235"/>
      <c r="I283" s="191"/>
      <c r="J283" s="191"/>
      <c r="K283" s="198"/>
      <c r="L283" s="198"/>
      <c r="M283" s="198"/>
      <c r="N283" s="198"/>
      <c r="O283" s="198"/>
      <c r="P283" s="198"/>
      <c r="Q283" s="198"/>
      <c r="S283" s="200"/>
      <c r="W283" s="207"/>
      <c r="AH283" s="204"/>
      <c r="AI283" s="204"/>
      <c r="AJ283" s="204"/>
      <c r="AK283" s="204"/>
      <c r="AL283" s="204"/>
      <c r="AM283" s="204"/>
      <c r="AN283" s="204"/>
      <c r="AX283" s="204"/>
      <c r="AY283" s="204"/>
      <c r="AZ283" s="204"/>
      <c r="BA283" s="204"/>
      <c r="BB283" s="204"/>
      <c r="BC283" s="204"/>
      <c r="BD283" s="204"/>
      <c r="BE283" s="204"/>
      <c r="BF283" s="204"/>
      <c r="BG283" s="204"/>
      <c r="BH283" s="204"/>
      <c r="BI283" s="204"/>
      <c r="BJ283" s="204"/>
      <c r="BK283" s="204"/>
      <c r="BL283" s="204"/>
      <c r="BM283" s="204"/>
      <c r="BN283" s="204"/>
      <c r="BO283" s="204"/>
      <c r="BP283" s="204"/>
      <c r="BQ283" s="204"/>
      <c r="BR283" s="204"/>
      <c r="BS283" s="204"/>
      <c r="BT283" s="204"/>
      <c r="BU283" s="204"/>
      <c r="BV283" s="204"/>
      <c r="BW283" s="204"/>
      <c r="BX283" s="204"/>
      <c r="BY283" s="204"/>
      <c r="BZ283" s="204"/>
      <c r="CA283" s="204"/>
      <c r="CB283" s="207"/>
      <c r="CM283" s="209"/>
    </row>
    <row r="284" ht="15.75" customHeight="1">
      <c r="A284" s="200"/>
      <c r="B284" s="200"/>
      <c r="C284" s="200"/>
      <c r="D284" s="200"/>
      <c r="F284" s="234"/>
      <c r="G284" s="234"/>
      <c r="H284" s="235"/>
      <c r="I284" s="191"/>
      <c r="J284" s="191"/>
      <c r="K284" s="198"/>
      <c r="L284" s="198"/>
      <c r="M284" s="198"/>
      <c r="N284" s="198"/>
      <c r="O284" s="198"/>
      <c r="P284" s="198"/>
      <c r="Q284" s="198"/>
      <c r="S284" s="200"/>
      <c r="W284" s="207"/>
      <c r="AH284" s="204"/>
      <c r="AI284" s="204"/>
      <c r="AJ284" s="204"/>
      <c r="AK284" s="204"/>
      <c r="AL284" s="204"/>
      <c r="AM284" s="204"/>
      <c r="AN284" s="204"/>
      <c r="AX284" s="204"/>
      <c r="AY284" s="204"/>
      <c r="AZ284" s="204"/>
      <c r="BA284" s="204"/>
      <c r="BB284" s="204"/>
      <c r="BC284" s="204"/>
      <c r="BD284" s="204"/>
      <c r="BE284" s="204"/>
      <c r="BF284" s="204"/>
      <c r="BG284" s="204"/>
      <c r="BH284" s="204"/>
      <c r="BI284" s="204"/>
      <c r="BJ284" s="204"/>
      <c r="BK284" s="204"/>
      <c r="BL284" s="204"/>
      <c r="BM284" s="204"/>
      <c r="BN284" s="204"/>
      <c r="BO284" s="204"/>
      <c r="BP284" s="204"/>
      <c r="BQ284" s="204"/>
      <c r="BR284" s="204"/>
      <c r="BS284" s="204"/>
      <c r="BT284" s="204"/>
      <c r="BU284" s="204"/>
      <c r="BV284" s="204"/>
      <c r="BW284" s="204"/>
      <c r="BX284" s="204"/>
      <c r="BY284" s="204"/>
      <c r="BZ284" s="204"/>
      <c r="CA284" s="204"/>
      <c r="CB284" s="207"/>
      <c r="CM284" s="209"/>
    </row>
    <row r="285" ht="15.75" customHeight="1">
      <c r="A285" s="200"/>
      <c r="B285" s="200"/>
      <c r="C285" s="200"/>
      <c r="D285" s="200"/>
      <c r="F285" s="234"/>
      <c r="G285" s="234"/>
      <c r="H285" s="235"/>
      <c r="I285" s="191"/>
      <c r="J285" s="191"/>
      <c r="K285" s="198"/>
      <c r="L285" s="198"/>
      <c r="M285" s="198"/>
      <c r="N285" s="198"/>
      <c r="O285" s="198"/>
      <c r="P285" s="198"/>
      <c r="Q285" s="198"/>
      <c r="S285" s="200"/>
      <c r="W285" s="207"/>
      <c r="AH285" s="204"/>
      <c r="AI285" s="204"/>
      <c r="AJ285" s="204"/>
      <c r="AK285" s="204"/>
      <c r="AL285" s="204"/>
      <c r="AM285" s="204"/>
      <c r="AN285" s="204"/>
      <c r="AX285" s="204"/>
      <c r="AY285" s="204"/>
      <c r="AZ285" s="204"/>
      <c r="BA285" s="204"/>
      <c r="BB285" s="204"/>
      <c r="BC285" s="204"/>
      <c r="BD285" s="204"/>
      <c r="BE285" s="204"/>
      <c r="BF285" s="204"/>
      <c r="BG285" s="204"/>
      <c r="BH285" s="204"/>
      <c r="BI285" s="204"/>
      <c r="BJ285" s="204"/>
      <c r="BK285" s="204"/>
      <c r="BL285" s="204"/>
      <c r="BM285" s="204"/>
      <c r="BN285" s="204"/>
      <c r="BO285" s="204"/>
      <c r="BP285" s="204"/>
      <c r="BQ285" s="204"/>
      <c r="BR285" s="204"/>
      <c r="BS285" s="204"/>
      <c r="BT285" s="204"/>
      <c r="BU285" s="204"/>
      <c r="BV285" s="204"/>
      <c r="BW285" s="204"/>
      <c r="BX285" s="204"/>
      <c r="BY285" s="204"/>
      <c r="BZ285" s="204"/>
      <c r="CA285" s="204"/>
      <c r="CB285" s="207"/>
      <c r="CM285" s="209"/>
    </row>
    <row r="286" ht="15.75" customHeight="1">
      <c r="A286" s="200"/>
      <c r="B286" s="200"/>
      <c r="C286" s="200"/>
      <c r="D286" s="200"/>
      <c r="F286" s="234"/>
      <c r="G286" s="234"/>
      <c r="H286" s="235"/>
      <c r="I286" s="191"/>
      <c r="J286" s="191"/>
      <c r="K286" s="198"/>
      <c r="L286" s="198"/>
      <c r="M286" s="198"/>
      <c r="N286" s="198"/>
      <c r="O286" s="198"/>
      <c r="P286" s="198"/>
      <c r="Q286" s="198"/>
      <c r="S286" s="200"/>
      <c r="W286" s="207"/>
      <c r="AH286" s="204"/>
      <c r="AI286" s="204"/>
      <c r="AJ286" s="204"/>
      <c r="AK286" s="204"/>
      <c r="AL286" s="204"/>
      <c r="AM286" s="204"/>
      <c r="AN286" s="204"/>
      <c r="AX286" s="204"/>
      <c r="AY286" s="204"/>
      <c r="AZ286" s="204"/>
      <c r="BA286" s="204"/>
      <c r="BB286" s="204"/>
      <c r="BC286" s="204"/>
      <c r="BD286" s="204"/>
      <c r="BE286" s="204"/>
      <c r="BF286" s="204"/>
      <c r="BG286" s="204"/>
      <c r="BH286" s="204"/>
      <c r="BI286" s="204"/>
      <c r="BJ286" s="204"/>
      <c r="BK286" s="204"/>
      <c r="BL286" s="204"/>
      <c r="BM286" s="204"/>
      <c r="BN286" s="204"/>
      <c r="BO286" s="204"/>
      <c r="BP286" s="204"/>
      <c r="BQ286" s="204"/>
      <c r="BR286" s="204"/>
      <c r="BS286" s="204"/>
      <c r="BT286" s="204"/>
      <c r="BU286" s="204"/>
      <c r="BV286" s="204"/>
      <c r="BW286" s="204"/>
      <c r="BX286" s="204"/>
      <c r="BY286" s="204"/>
      <c r="BZ286" s="204"/>
      <c r="CA286" s="204"/>
      <c r="CB286" s="207"/>
      <c r="CM286" s="209"/>
    </row>
    <row r="287" ht="15.75" customHeight="1">
      <c r="A287" s="200"/>
      <c r="B287" s="200"/>
      <c r="C287" s="200"/>
      <c r="D287" s="200"/>
      <c r="F287" s="234"/>
      <c r="G287" s="234"/>
      <c r="H287" s="235"/>
      <c r="I287" s="191"/>
      <c r="J287" s="191"/>
      <c r="K287" s="198"/>
      <c r="L287" s="198"/>
      <c r="M287" s="198"/>
      <c r="N287" s="198"/>
      <c r="O287" s="198"/>
      <c r="P287" s="198"/>
      <c r="Q287" s="198"/>
      <c r="S287" s="200"/>
      <c r="W287" s="207"/>
      <c r="AH287" s="204"/>
      <c r="AI287" s="204"/>
      <c r="AJ287" s="204"/>
      <c r="AK287" s="204"/>
      <c r="AL287" s="204"/>
      <c r="AM287" s="204"/>
      <c r="AN287" s="204"/>
      <c r="AX287" s="204"/>
      <c r="AY287" s="204"/>
      <c r="AZ287" s="204"/>
      <c r="BA287" s="204"/>
      <c r="BB287" s="204"/>
      <c r="BC287" s="204"/>
      <c r="BD287" s="204"/>
      <c r="BE287" s="204"/>
      <c r="BF287" s="204"/>
      <c r="BG287" s="204"/>
      <c r="BH287" s="204"/>
      <c r="BI287" s="204"/>
      <c r="BJ287" s="204"/>
      <c r="BK287" s="204"/>
      <c r="BL287" s="204"/>
      <c r="BM287" s="204"/>
      <c r="BN287" s="204"/>
      <c r="BO287" s="204"/>
      <c r="BP287" s="204"/>
      <c r="BQ287" s="204"/>
      <c r="BR287" s="204"/>
      <c r="BS287" s="204"/>
      <c r="BT287" s="204"/>
      <c r="BU287" s="204"/>
      <c r="BV287" s="204"/>
      <c r="BW287" s="204"/>
      <c r="BX287" s="204"/>
      <c r="BY287" s="204"/>
      <c r="BZ287" s="204"/>
      <c r="CA287" s="204"/>
      <c r="CB287" s="207"/>
      <c r="CM287" s="209"/>
    </row>
    <row r="288" ht="15.75" customHeight="1">
      <c r="A288" s="200"/>
      <c r="B288" s="200"/>
      <c r="C288" s="200"/>
      <c r="D288" s="200"/>
      <c r="F288" s="234"/>
      <c r="G288" s="234"/>
      <c r="H288" s="235"/>
      <c r="I288" s="191"/>
      <c r="J288" s="191"/>
      <c r="K288" s="198"/>
      <c r="L288" s="198"/>
      <c r="M288" s="198"/>
      <c r="N288" s="198"/>
      <c r="O288" s="198"/>
      <c r="P288" s="198"/>
      <c r="Q288" s="198"/>
      <c r="S288" s="200"/>
      <c r="W288" s="207"/>
      <c r="AH288" s="204"/>
      <c r="AI288" s="204"/>
      <c r="AJ288" s="204"/>
      <c r="AK288" s="204"/>
      <c r="AL288" s="204"/>
      <c r="AM288" s="204"/>
      <c r="AN288" s="204"/>
      <c r="AX288" s="204"/>
      <c r="AY288" s="204"/>
      <c r="AZ288" s="204"/>
      <c r="BA288" s="204"/>
      <c r="BB288" s="204"/>
      <c r="BC288" s="204"/>
      <c r="BD288" s="204"/>
      <c r="BE288" s="204"/>
      <c r="BF288" s="204"/>
      <c r="BG288" s="204"/>
      <c r="BH288" s="204"/>
      <c r="BI288" s="204"/>
      <c r="BJ288" s="204"/>
      <c r="BK288" s="204"/>
      <c r="BL288" s="204"/>
      <c r="BM288" s="204"/>
      <c r="BN288" s="204"/>
      <c r="BO288" s="204"/>
      <c r="BP288" s="204"/>
      <c r="BQ288" s="204"/>
      <c r="BR288" s="204"/>
      <c r="BS288" s="204"/>
      <c r="BT288" s="204"/>
      <c r="BU288" s="204"/>
      <c r="BV288" s="204"/>
      <c r="BW288" s="204"/>
      <c r="BX288" s="204"/>
      <c r="BY288" s="204"/>
      <c r="BZ288" s="204"/>
      <c r="CA288" s="204"/>
      <c r="CB288" s="207"/>
      <c r="CM288" s="209"/>
    </row>
    <row r="289" ht="15.75" customHeight="1">
      <c r="A289" s="200"/>
      <c r="B289" s="200"/>
      <c r="C289" s="200"/>
      <c r="D289" s="200"/>
      <c r="F289" s="234"/>
      <c r="G289" s="234"/>
      <c r="H289" s="235"/>
      <c r="I289" s="191"/>
      <c r="J289" s="191"/>
      <c r="K289" s="198"/>
      <c r="L289" s="198"/>
      <c r="M289" s="198"/>
      <c r="N289" s="198"/>
      <c r="O289" s="198"/>
      <c r="P289" s="198"/>
      <c r="Q289" s="198"/>
      <c r="S289" s="200"/>
      <c r="W289" s="207"/>
      <c r="AH289" s="204"/>
      <c r="AI289" s="204"/>
      <c r="AJ289" s="204"/>
      <c r="AK289" s="204"/>
      <c r="AL289" s="204"/>
      <c r="AM289" s="204"/>
      <c r="AN289" s="204"/>
      <c r="AX289" s="204"/>
      <c r="AY289" s="204"/>
      <c r="AZ289" s="204"/>
      <c r="BA289" s="204"/>
      <c r="BB289" s="204"/>
      <c r="BC289" s="204"/>
      <c r="BD289" s="204"/>
      <c r="BE289" s="204"/>
      <c r="BF289" s="204"/>
      <c r="BG289" s="204"/>
      <c r="BH289" s="204"/>
      <c r="BI289" s="204"/>
      <c r="BJ289" s="204"/>
      <c r="BK289" s="204"/>
      <c r="BL289" s="204"/>
      <c r="BM289" s="204"/>
      <c r="BN289" s="204"/>
      <c r="BO289" s="204"/>
      <c r="BP289" s="204"/>
      <c r="BQ289" s="204"/>
      <c r="BR289" s="204"/>
      <c r="BS289" s="204"/>
      <c r="BT289" s="204"/>
      <c r="BU289" s="204"/>
      <c r="BV289" s="204"/>
      <c r="BW289" s="204"/>
      <c r="BX289" s="204"/>
      <c r="BY289" s="204"/>
      <c r="BZ289" s="204"/>
      <c r="CA289" s="204"/>
      <c r="CB289" s="207"/>
      <c r="CM289" s="209"/>
    </row>
    <row r="290" ht="15.75" customHeight="1">
      <c r="A290" s="200"/>
      <c r="B290" s="200"/>
      <c r="C290" s="200"/>
      <c r="D290" s="200"/>
      <c r="F290" s="234"/>
      <c r="G290" s="234"/>
      <c r="H290" s="235"/>
      <c r="I290" s="191"/>
      <c r="J290" s="191"/>
      <c r="K290" s="198"/>
      <c r="L290" s="198"/>
      <c r="M290" s="198"/>
      <c r="N290" s="198"/>
      <c r="O290" s="198"/>
      <c r="P290" s="198"/>
      <c r="Q290" s="198"/>
      <c r="S290" s="200"/>
      <c r="W290" s="207"/>
      <c r="AH290" s="204"/>
      <c r="AI290" s="204"/>
      <c r="AJ290" s="204"/>
      <c r="AK290" s="204"/>
      <c r="AL290" s="204"/>
      <c r="AM290" s="204"/>
      <c r="AN290" s="204"/>
      <c r="AX290" s="204"/>
      <c r="AY290" s="204"/>
      <c r="AZ290" s="204"/>
      <c r="BA290" s="204"/>
      <c r="BB290" s="204"/>
      <c r="BC290" s="204"/>
      <c r="BD290" s="204"/>
      <c r="BE290" s="204"/>
      <c r="BF290" s="204"/>
      <c r="BG290" s="204"/>
      <c r="BH290" s="204"/>
      <c r="BI290" s="204"/>
      <c r="BJ290" s="204"/>
      <c r="BK290" s="204"/>
      <c r="BL290" s="204"/>
      <c r="BM290" s="204"/>
      <c r="BN290" s="204"/>
      <c r="BO290" s="204"/>
      <c r="BP290" s="204"/>
      <c r="BQ290" s="204"/>
      <c r="BR290" s="204"/>
      <c r="BS290" s="204"/>
      <c r="BT290" s="204"/>
      <c r="BU290" s="204"/>
      <c r="BV290" s="204"/>
      <c r="BW290" s="204"/>
      <c r="BX290" s="204"/>
      <c r="BY290" s="204"/>
      <c r="BZ290" s="204"/>
      <c r="CA290" s="204"/>
      <c r="CB290" s="207"/>
      <c r="CM290" s="209"/>
    </row>
    <row r="291" ht="15.75" customHeight="1">
      <c r="A291" s="200"/>
      <c r="B291" s="200"/>
      <c r="C291" s="200"/>
      <c r="D291" s="200"/>
      <c r="F291" s="234"/>
      <c r="G291" s="234"/>
      <c r="H291" s="235"/>
      <c r="I291" s="191"/>
      <c r="J291" s="191"/>
      <c r="K291" s="198"/>
      <c r="L291" s="198"/>
      <c r="M291" s="198"/>
      <c r="N291" s="198"/>
      <c r="O291" s="198"/>
      <c r="P291" s="198"/>
      <c r="Q291" s="198"/>
      <c r="S291" s="200"/>
      <c r="W291" s="207"/>
      <c r="AH291" s="204"/>
      <c r="AI291" s="204"/>
      <c r="AJ291" s="204"/>
      <c r="AK291" s="204"/>
      <c r="AL291" s="204"/>
      <c r="AM291" s="204"/>
      <c r="AN291" s="204"/>
      <c r="AX291" s="204"/>
      <c r="AY291" s="204"/>
      <c r="AZ291" s="204"/>
      <c r="BA291" s="204"/>
      <c r="BB291" s="204"/>
      <c r="BC291" s="204"/>
      <c r="BD291" s="204"/>
      <c r="BE291" s="204"/>
      <c r="BF291" s="204"/>
      <c r="BG291" s="204"/>
      <c r="BH291" s="204"/>
      <c r="BI291" s="204"/>
      <c r="BJ291" s="204"/>
      <c r="BK291" s="204"/>
      <c r="BL291" s="204"/>
      <c r="BM291" s="204"/>
      <c r="BN291" s="204"/>
      <c r="BO291" s="204"/>
      <c r="BP291" s="204"/>
      <c r="BQ291" s="204"/>
      <c r="BR291" s="204"/>
      <c r="BS291" s="204"/>
      <c r="BT291" s="204"/>
      <c r="BU291" s="204"/>
      <c r="BV291" s="204"/>
      <c r="BW291" s="204"/>
      <c r="BX291" s="204"/>
      <c r="BY291" s="204"/>
      <c r="BZ291" s="204"/>
      <c r="CA291" s="204"/>
      <c r="CB291" s="207"/>
      <c r="CM291" s="209"/>
    </row>
    <row r="292" ht="15.75" customHeight="1">
      <c r="A292" s="200"/>
      <c r="B292" s="200"/>
      <c r="C292" s="200"/>
      <c r="D292" s="200"/>
      <c r="F292" s="234"/>
      <c r="G292" s="234"/>
      <c r="H292" s="235"/>
      <c r="I292" s="191"/>
      <c r="J292" s="191"/>
      <c r="K292" s="198"/>
      <c r="L292" s="198"/>
      <c r="M292" s="198"/>
      <c r="N292" s="198"/>
      <c r="O292" s="198"/>
      <c r="P292" s="198"/>
      <c r="Q292" s="198"/>
      <c r="S292" s="200"/>
      <c r="W292" s="207"/>
      <c r="AH292" s="204"/>
      <c r="AI292" s="204"/>
      <c r="AJ292" s="204"/>
      <c r="AK292" s="204"/>
      <c r="AL292" s="204"/>
      <c r="AM292" s="204"/>
      <c r="AN292" s="204"/>
      <c r="AX292" s="204"/>
      <c r="AY292" s="204"/>
      <c r="AZ292" s="204"/>
      <c r="BA292" s="204"/>
      <c r="BB292" s="204"/>
      <c r="BC292" s="204"/>
      <c r="BD292" s="204"/>
      <c r="BE292" s="204"/>
      <c r="BF292" s="204"/>
      <c r="BG292" s="204"/>
      <c r="BH292" s="204"/>
      <c r="BI292" s="204"/>
      <c r="BJ292" s="204"/>
      <c r="BK292" s="204"/>
      <c r="BL292" s="204"/>
      <c r="BM292" s="204"/>
      <c r="BN292" s="204"/>
      <c r="BO292" s="204"/>
      <c r="BP292" s="204"/>
      <c r="BQ292" s="204"/>
      <c r="BR292" s="204"/>
      <c r="BS292" s="204"/>
      <c r="BT292" s="204"/>
      <c r="BU292" s="204"/>
      <c r="BV292" s="204"/>
      <c r="BW292" s="204"/>
      <c r="BX292" s="204"/>
      <c r="BY292" s="204"/>
      <c r="BZ292" s="204"/>
      <c r="CA292" s="204"/>
      <c r="CB292" s="207"/>
      <c r="CM292" s="209"/>
    </row>
    <row r="293" ht="15.75" customHeight="1">
      <c r="A293" s="200"/>
      <c r="B293" s="200"/>
      <c r="C293" s="200"/>
      <c r="D293" s="200"/>
      <c r="F293" s="234"/>
      <c r="G293" s="234"/>
      <c r="H293" s="235"/>
      <c r="I293" s="191"/>
      <c r="J293" s="191"/>
      <c r="K293" s="198"/>
      <c r="L293" s="198"/>
      <c r="M293" s="198"/>
      <c r="N293" s="198"/>
      <c r="O293" s="198"/>
      <c r="P293" s="198"/>
      <c r="Q293" s="198"/>
      <c r="S293" s="200"/>
      <c r="W293" s="207"/>
      <c r="AH293" s="204"/>
      <c r="AI293" s="204"/>
      <c r="AJ293" s="204"/>
      <c r="AK293" s="204"/>
      <c r="AL293" s="204"/>
      <c r="AM293" s="204"/>
      <c r="AN293" s="204"/>
      <c r="AX293" s="204"/>
      <c r="AY293" s="204"/>
      <c r="AZ293" s="204"/>
      <c r="BA293" s="204"/>
      <c r="BB293" s="204"/>
      <c r="BC293" s="204"/>
      <c r="BD293" s="204"/>
      <c r="BE293" s="204"/>
      <c r="BF293" s="204"/>
      <c r="BG293" s="204"/>
      <c r="BH293" s="204"/>
      <c r="BI293" s="204"/>
      <c r="BJ293" s="204"/>
      <c r="BK293" s="204"/>
      <c r="BL293" s="204"/>
      <c r="BM293" s="204"/>
      <c r="BN293" s="204"/>
      <c r="BO293" s="204"/>
      <c r="BP293" s="204"/>
      <c r="BQ293" s="204"/>
      <c r="BR293" s="204"/>
      <c r="BS293" s="204"/>
      <c r="BT293" s="204"/>
      <c r="BU293" s="204"/>
      <c r="BV293" s="204"/>
      <c r="BW293" s="204"/>
      <c r="BX293" s="204"/>
      <c r="BY293" s="204"/>
      <c r="BZ293" s="204"/>
      <c r="CA293" s="204"/>
      <c r="CB293" s="207"/>
      <c r="CM293" s="209"/>
    </row>
    <row r="294" ht="15.75" customHeight="1">
      <c r="A294" s="200"/>
      <c r="B294" s="200"/>
      <c r="C294" s="200"/>
      <c r="D294" s="200"/>
      <c r="F294" s="234"/>
      <c r="G294" s="234"/>
      <c r="H294" s="235"/>
      <c r="I294" s="191"/>
      <c r="J294" s="191"/>
      <c r="K294" s="198"/>
      <c r="L294" s="198"/>
      <c r="M294" s="198"/>
      <c r="N294" s="198"/>
      <c r="O294" s="198"/>
      <c r="P294" s="198"/>
      <c r="Q294" s="198"/>
      <c r="S294" s="200"/>
      <c r="W294" s="207"/>
      <c r="AH294" s="204"/>
      <c r="AI294" s="204"/>
      <c r="AJ294" s="204"/>
      <c r="AK294" s="204"/>
      <c r="AL294" s="204"/>
      <c r="AM294" s="204"/>
      <c r="AN294" s="204"/>
      <c r="AX294" s="204"/>
      <c r="AY294" s="204"/>
      <c r="AZ294" s="204"/>
      <c r="BA294" s="204"/>
      <c r="BB294" s="204"/>
      <c r="BC294" s="204"/>
      <c r="BD294" s="204"/>
      <c r="BE294" s="204"/>
      <c r="BF294" s="204"/>
      <c r="BG294" s="204"/>
      <c r="BH294" s="204"/>
      <c r="BI294" s="204"/>
      <c r="BJ294" s="204"/>
      <c r="BK294" s="204"/>
      <c r="BL294" s="204"/>
      <c r="BM294" s="204"/>
      <c r="BN294" s="204"/>
      <c r="BO294" s="204"/>
      <c r="BP294" s="204"/>
      <c r="BQ294" s="204"/>
      <c r="BR294" s="204"/>
      <c r="BS294" s="204"/>
      <c r="BT294" s="204"/>
      <c r="BU294" s="204"/>
      <c r="BV294" s="204"/>
      <c r="BW294" s="204"/>
      <c r="BX294" s="204"/>
      <c r="BY294" s="204"/>
      <c r="BZ294" s="204"/>
      <c r="CA294" s="204"/>
      <c r="CB294" s="207"/>
      <c r="CM294" s="209"/>
    </row>
    <row r="295" ht="15.75" customHeight="1">
      <c r="A295" s="200"/>
      <c r="B295" s="200"/>
      <c r="C295" s="200"/>
      <c r="D295" s="200"/>
      <c r="F295" s="234"/>
      <c r="G295" s="234"/>
      <c r="H295" s="235"/>
      <c r="I295" s="191"/>
      <c r="J295" s="191"/>
      <c r="K295" s="198"/>
      <c r="L295" s="198"/>
      <c r="M295" s="198"/>
      <c r="N295" s="198"/>
      <c r="O295" s="198"/>
      <c r="P295" s="198"/>
      <c r="Q295" s="198"/>
      <c r="S295" s="200"/>
      <c r="W295" s="207"/>
      <c r="AH295" s="204"/>
      <c r="AI295" s="204"/>
      <c r="AJ295" s="204"/>
      <c r="AK295" s="204"/>
      <c r="AL295" s="204"/>
      <c r="AM295" s="204"/>
      <c r="AN295" s="204"/>
      <c r="AX295" s="204"/>
      <c r="AY295" s="204"/>
      <c r="AZ295" s="204"/>
      <c r="BA295" s="204"/>
      <c r="BB295" s="204"/>
      <c r="BC295" s="204"/>
      <c r="BD295" s="204"/>
      <c r="BE295" s="204"/>
      <c r="BF295" s="204"/>
      <c r="BG295" s="204"/>
      <c r="BH295" s="204"/>
      <c r="BI295" s="204"/>
      <c r="BJ295" s="204"/>
      <c r="BK295" s="204"/>
      <c r="BL295" s="204"/>
      <c r="BM295" s="204"/>
      <c r="BN295" s="204"/>
      <c r="BO295" s="204"/>
      <c r="BP295" s="204"/>
      <c r="BQ295" s="204"/>
      <c r="BR295" s="204"/>
      <c r="BS295" s="204"/>
      <c r="BT295" s="204"/>
      <c r="BU295" s="204"/>
      <c r="BV295" s="204"/>
      <c r="BW295" s="204"/>
      <c r="BX295" s="204"/>
      <c r="BY295" s="204"/>
      <c r="BZ295" s="204"/>
      <c r="CA295" s="204"/>
      <c r="CB295" s="207"/>
      <c r="CM295" s="209"/>
    </row>
    <row r="296" ht="15.75" customHeight="1">
      <c r="A296" s="200"/>
      <c r="B296" s="200"/>
      <c r="C296" s="200"/>
      <c r="D296" s="200"/>
      <c r="F296" s="234"/>
      <c r="G296" s="234"/>
      <c r="H296" s="235"/>
      <c r="I296" s="191"/>
      <c r="J296" s="191"/>
      <c r="K296" s="198"/>
      <c r="L296" s="198"/>
      <c r="M296" s="198"/>
      <c r="N296" s="198"/>
      <c r="O296" s="198"/>
      <c r="P296" s="198"/>
      <c r="Q296" s="198"/>
      <c r="S296" s="200"/>
      <c r="W296" s="207"/>
      <c r="AH296" s="204"/>
      <c r="AI296" s="204"/>
      <c r="AJ296" s="204"/>
      <c r="AK296" s="204"/>
      <c r="AL296" s="204"/>
      <c r="AM296" s="204"/>
      <c r="AN296" s="204"/>
      <c r="AX296" s="204"/>
      <c r="AY296" s="204"/>
      <c r="AZ296" s="204"/>
      <c r="BA296" s="204"/>
      <c r="BB296" s="204"/>
      <c r="BC296" s="204"/>
      <c r="BD296" s="204"/>
      <c r="BE296" s="204"/>
      <c r="BF296" s="204"/>
      <c r="BG296" s="204"/>
      <c r="BH296" s="204"/>
      <c r="BI296" s="204"/>
      <c r="BJ296" s="204"/>
      <c r="BK296" s="204"/>
      <c r="BL296" s="204"/>
      <c r="BM296" s="204"/>
      <c r="BN296" s="204"/>
      <c r="BO296" s="204"/>
      <c r="BP296" s="204"/>
      <c r="BQ296" s="204"/>
      <c r="BR296" s="204"/>
      <c r="BS296" s="204"/>
      <c r="BT296" s="204"/>
      <c r="BU296" s="204"/>
      <c r="BV296" s="204"/>
      <c r="BW296" s="204"/>
      <c r="BX296" s="204"/>
      <c r="BY296" s="204"/>
      <c r="BZ296" s="204"/>
      <c r="CA296" s="204"/>
      <c r="CB296" s="207"/>
      <c r="CM296" s="209"/>
    </row>
    <row r="297" ht="15.75" customHeight="1">
      <c r="A297" s="200"/>
      <c r="B297" s="200"/>
      <c r="C297" s="200"/>
      <c r="D297" s="200"/>
      <c r="F297" s="234"/>
      <c r="G297" s="234"/>
      <c r="H297" s="235"/>
      <c r="I297" s="191"/>
      <c r="J297" s="191"/>
      <c r="K297" s="198"/>
      <c r="L297" s="198"/>
      <c r="M297" s="198"/>
      <c r="N297" s="198"/>
      <c r="O297" s="198"/>
      <c r="P297" s="198"/>
      <c r="Q297" s="198"/>
      <c r="S297" s="200"/>
      <c r="W297" s="207"/>
      <c r="AH297" s="204"/>
      <c r="AI297" s="204"/>
      <c r="AJ297" s="204"/>
      <c r="AK297" s="204"/>
      <c r="AL297" s="204"/>
      <c r="AM297" s="204"/>
      <c r="AN297" s="204"/>
      <c r="AX297" s="204"/>
      <c r="AY297" s="204"/>
      <c r="AZ297" s="204"/>
      <c r="BA297" s="204"/>
      <c r="BB297" s="204"/>
      <c r="BC297" s="204"/>
      <c r="BD297" s="204"/>
      <c r="BE297" s="204"/>
      <c r="BF297" s="204"/>
      <c r="BG297" s="204"/>
      <c r="BH297" s="204"/>
      <c r="BI297" s="204"/>
      <c r="BJ297" s="204"/>
      <c r="BK297" s="204"/>
      <c r="BL297" s="204"/>
      <c r="BM297" s="204"/>
      <c r="BN297" s="204"/>
      <c r="BO297" s="204"/>
      <c r="BP297" s="204"/>
      <c r="BQ297" s="204"/>
      <c r="BR297" s="204"/>
      <c r="BS297" s="204"/>
      <c r="BT297" s="204"/>
      <c r="BU297" s="204"/>
      <c r="BV297" s="204"/>
      <c r="BW297" s="204"/>
      <c r="BX297" s="204"/>
      <c r="BY297" s="204"/>
      <c r="BZ297" s="204"/>
      <c r="CA297" s="204"/>
      <c r="CB297" s="207"/>
      <c r="CM297" s="209"/>
    </row>
    <row r="298" ht="15.75" customHeight="1">
      <c r="A298" s="200"/>
      <c r="B298" s="200"/>
      <c r="C298" s="200"/>
      <c r="D298" s="200"/>
      <c r="F298" s="234"/>
      <c r="G298" s="234"/>
      <c r="H298" s="235"/>
      <c r="I298" s="191"/>
      <c r="J298" s="191"/>
      <c r="K298" s="198"/>
      <c r="L298" s="198"/>
      <c r="M298" s="198"/>
      <c r="N298" s="198"/>
      <c r="O298" s="198"/>
      <c r="P298" s="198"/>
      <c r="Q298" s="198"/>
      <c r="S298" s="200"/>
      <c r="W298" s="207"/>
      <c r="AH298" s="204"/>
      <c r="AI298" s="204"/>
      <c r="AJ298" s="204"/>
      <c r="AK298" s="204"/>
      <c r="AL298" s="204"/>
      <c r="AM298" s="204"/>
      <c r="AN298" s="204"/>
      <c r="AX298" s="204"/>
      <c r="AY298" s="204"/>
      <c r="AZ298" s="204"/>
      <c r="BA298" s="204"/>
      <c r="BB298" s="204"/>
      <c r="BC298" s="204"/>
      <c r="BD298" s="204"/>
      <c r="BE298" s="204"/>
      <c r="BF298" s="204"/>
      <c r="BG298" s="204"/>
      <c r="BH298" s="204"/>
      <c r="BI298" s="204"/>
      <c r="BJ298" s="204"/>
      <c r="BK298" s="204"/>
      <c r="BL298" s="204"/>
      <c r="BM298" s="204"/>
      <c r="BN298" s="204"/>
      <c r="BO298" s="204"/>
      <c r="BP298" s="204"/>
      <c r="BQ298" s="204"/>
      <c r="BR298" s="204"/>
      <c r="BS298" s="204"/>
      <c r="BT298" s="204"/>
      <c r="BU298" s="204"/>
      <c r="BV298" s="204"/>
      <c r="BW298" s="204"/>
      <c r="BX298" s="204"/>
      <c r="BY298" s="204"/>
      <c r="BZ298" s="204"/>
      <c r="CA298" s="204"/>
      <c r="CB298" s="207"/>
      <c r="CM298" s="209"/>
    </row>
    <row r="299" ht="15.75" customHeight="1">
      <c r="A299" s="200"/>
      <c r="B299" s="200"/>
      <c r="C299" s="200"/>
      <c r="D299" s="200"/>
      <c r="F299" s="234"/>
      <c r="G299" s="234"/>
      <c r="H299" s="235"/>
      <c r="I299" s="191"/>
      <c r="J299" s="191"/>
      <c r="K299" s="198"/>
      <c r="L299" s="198"/>
      <c r="M299" s="198"/>
      <c r="N299" s="198"/>
      <c r="O299" s="198"/>
      <c r="P299" s="198"/>
      <c r="Q299" s="198"/>
      <c r="S299" s="200"/>
      <c r="W299" s="207"/>
      <c r="AH299" s="204"/>
      <c r="AI299" s="204"/>
      <c r="AJ299" s="204"/>
      <c r="AK299" s="204"/>
      <c r="AL299" s="204"/>
      <c r="AM299" s="204"/>
      <c r="AN299" s="204"/>
      <c r="AX299" s="204"/>
      <c r="AY299" s="204"/>
      <c r="AZ299" s="204"/>
      <c r="BA299" s="204"/>
      <c r="BB299" s="204"/>
      <c r="BC299" s="204"/>
      <c r="BD299" s="204"/>
      <c r="BE299" s="204"/>
      <c r="BF299" s="204"/>
      <c r="BG299" s="204"/>
      <c r="BH299" s="204"/>
      <c r="BI299" s="204"/>
      <c r="BJ299" s="204"/>
      <c r="BK299" s="204"/>
      <c r="BL299" s="204"/>
      <c r="BM299" s="204"/>
      <c r="BN299" s="204"/>
      <c r="BO299" s="204"/>
      <c r="BP299" s="204"/>
      <c r="BQ299" s="204"/>
      <c r="BR299" s="204"/>
      <c r="BS299" s="204"/>
      <c r="BT299" s="204"/>
      <c r="BU299" s="204"/>
      <c r="BV299" s="204"/>
      <c r="BW299" s="204"/>
      <c r="BX299" s="204"/>
      <c r="BY299" s="204"/>
      <c r="BZ299" s="204"/>
      <c r="CA299" s="204"/>
      <c r="CB299" s="207"/>
      <c r="CM299" s="209"/>
    </row>
    <row r="300" ht="15.75" customHeight="1">
      <c r="A300" s="200"/>
      <c r="B300" s="200"/>
      <c r="C300" s="200"/>
      <c r="D300" s="200"/>
      <c r="F300" s="234"/>
      <c r="G300" s="234"/>
      <c r="H300" s="235"/>
      <c r="I300" s="191"/>
      <c r="J300" s="191"/>
      <c r="K300" s="198"/>
      <c r="L300" s="198"/>
      <c r="M300" s="198"/>
      <c r="N300" s="198"/>
      <c r="O300" s="198"/>
      <c r="P300" s="198"/>
      <c r="Q300" s="198"/>
      <c r="S300" s="200"/>
      <c r="W300" s="207"/>
      <c r="AH300" s="204"/>
      <c r="AI300" s="204"/>
      <c r="AJ300" s="204"/>
      <c r="AK300" s="204"/>
      <c r="AL300" s="204"/>
      <c r="AM300" s="204"/>
      <c r="AN300" s="204"/>
      <c r="AX300" s="204"/>
      <c r="AY300" s="204"/>
      <c r="AZ300" s="204"/>
      <c r="BA300" s="204"/>
      <c r="BB300" s="204"/>
      <c r="BC300" s="204"/>
      <c r="BD300" s="204"/>
      <c r="BE300" s="204"/>
      <c r="BF300" s="204"/>
      <c r="BG300" s="204"/>
      <c r="BH300" s="204"/>
      <c r="BI300" s="204"/>
      <c r="BJ300" s="204"/>
      <c r="BK300" s="204"/>
      <c r="BL300" s="204"/>
      <c r="BM300" s="204"/>
      <c r="BN300" s="204"/>
      <c r="BO300" s="204"/>
      <c r="BP300" s="204"/>
      <c r="BQ300" s="204"/>
      <c r="BR300" s="204"/>
      <c r="BS300" s="204"/>
      <c r="BT300" s="204"/>
      <c r="BU300" s="204"/>
      <c r="BV300" s="204"/>
      <c r="BW300" s="204"/>
      <c r="BX300" s="204"/>
      <c r="BY300" s="204"/>
      <c r="BZ300" s="204"/>
      <c r="CA300" s="204"/>
      <c r="CB300" s="207"/>
      <c r="CM300" s="209"/>
    </row>
    <row r="301" ht="15.75" customHeight="1">
      <c r="A301" s="200"/>
      <c r="B301" s="200"/>
      <c r="C301" s="200"/>
      <c r="D301" s="200"/>
      <c r="F301" s="234"/>
      <c r="G301" s="234"/>
      <c r="H301" s="235"/>
      <c r="I301" s="191"/>
      <c r="J301" s="191"/>
      <c r="K301" s="198"/>
      <c r="L301" s="198"/>
      <c r="M301" s="198"/>
      <c r="N301" s="198"/>
      <c r="O301" s="198"/>
      <c r="P301" s="198"/>
      <c r="Q301" s="198"/>
      <c r="S301" s="200"/>
      <c r="W301" s="207"/>
      <c r="AH301" s="204"/>
      <c r="AI301" s="204"/>
      <c r="AJ301" s="204"/>
      <c r="AK301" s="204"/>
      <c r="AL301" s="204"/>
      <c r="AM301" s="204"/>
      <c r="AN301" s="204"/>
      <c r="AX301" s="204"/>
      <c r="AY301" s="204"/>
      <c r="AZ301" s="204"/>
      <c r="BA301" s="204"/>
      <c r="BB301" s="204"/>
      <c r="BC301" s="204"/>
      <c r="BD301" s="204"/>
      <c r="BE301" s="204"/>
      <c r="BF301" s="204"/>
      <c r="BG301" s="204"/>
      <c r="BH301" s="204"/>
      <c r="BI301" s="204"/>
      <c r="BJ301" s="204"/>
      <c r="BK301" s="204"/>
      <c r="BL301" s="204"/>
      <c r="BM301" s="204"/>
      <c r="BN301" s="204"/>
      <c r="BO301" s="204"/>
      <c r="BP301" s="204"/>
      <c r="BQ301" s="204"/>
      <c r="BR301" s="204"/>
      <c r="BS301" s="204"/>
      <c r="BT301" s="204"/>
      <c r="BU301" s="204"/>
      <c r="BV301" s="204"/>
      <c r="BW301" s="204"/>
      <c r="BX301" s="204"/>
      <c r="BY301" s="204"/>
      <c r="BZ301" s="204"/>
      <c r="CA301" s="204"/>
      <c r="CB301" s="207"/>
      <c r="CM301" s="209"/>
    </row>
    <row r="302" ht="15.75" customHeight="1">
      <c r="A302" s="200"/>
      <c r="B302" s="200"/>
      <c r="C302" s="200"/>
      <c r="D302" s="200"/>
      <c r="F302" s="234"/>
      <c r="G302" s="234"/>
      <c r="H302" s="235"/>
      <c r="I302" s="191"/>
      <c r="J302" s="191"/>
      <c r="K302" s="198"/>
      <c r="L302" s="198"/>
      <c r="M302" s="198"/>
      <c r="N302" s="198"/>
      <c r="O302" s="198"/>
      <c r="P302" s="198"/>
      <c r="Q302" s="198"/>
      <c r="S302" s="200"/>
      <c r="W302" s="207"/>
      <c r="AH302" s="204"/>
      <c r="AI302" s="204"/>
      <c r="AJ302" s="204"/>
      <c r="AK302" s="204"/>
      <c r="AL302" s="204"/>
      <c r="AM302" s="204"/>
      <c r="AN302" s="204"/>
      <c r="AX302" s="204"/>
      <c r="AY302" s="204"/>
      <c r="AZ302" s="204"/>
      <c r="BA302" s="204"/>
      <c r="BB302" s="204"/>
      <c r="BC302" s="204"/>
      <c r="BD302" s="204"/>
      <c r="BE302" s="204"/>
      <c r="BF302" s="204"/>
      <c r="BG302" s="204"/>
      <c r="BH302" s="204"/>
      <c r="BI302" s="204"/>
      <c r="BJ302" s="204"/>
      <c r="BK302" s="204"/>
      <c r="BL302" s="204"/>
      <c r="BM302" s="204"/>
      <c r="BN302" s="204"/>
      <c r="BO302" s="204"/>
      <c r="BP302" s="204"/>
      <c r="BQ302" s="204"/>
      <c r="BR302" s="204"/>
      <c r="BS302" s="204"/>
      <c r="BT302" s="204"/>
      <c r="BU302" s="204"/>
      <c r="BV302" s="204"/>
      <c r="BW302" s="204"/>
      <c r="BX302" s="204"/>
      <c r="BY302" s="204"/>
      <c r="BZ302" s="204"/>
      <c r="CA302" s="204"/>
      <c r="CB302" s="207"/>
      <c r="CM302" s="209"/>
    </row>
    <row r="303" ht="15.75" customHeight="1">
      <c r="A303" s="200"/>
      <c r="B303" s="200"/>
      <c r="C303" s="200"/>
      <c r="D303" s="200"/>
      <c r="F303" s="234"/>
      <c r="G303" s="234"/>
      <c r="H303" s="235"/>
      <c r="I303" s="191"/>
      <c r="J303" s="191"/>
      <c r="K303" s="198"/>
      <c r="L303" s="198"/>
      <c r="M303" s="198"/>
      <c r="N303" s="198"/>
      <c r="O303" s="198"/>
      <c r="P303" s="198"/>
      <c r="Q303" s="198"/>
      <c r="S303" s="200"/>
      <c r="W303" s="207"/>
      <c r="AH303" s="204"/>
      <c r="AI303" s="204"/>
      <c r="AJ303" s="204"/>
      <c r="AK303" s="204"/>
      <c r="AL303" s="204"/>
      <c r="AM303" s="204"/>
      <c r="AN303" s="204"/>
      <c r="AX303" s="204"/>
      <c r="AY303" s="204"/>
      <c r="AZ303" s="204"/>
      <c r="BA303" s="204"/>
      <c r="BB303" s="204"/>
      <c r="BC303" s="204"/>
      <c r="BD303" s="204"/>
      <c r="BE303" s="204"/>
      <c r="BF303" s="204"/>
      <c r="BG303" s="204"/>
      <c r="BH303" s="204"/>
      <c r="BI303" s="204"/>
      <c r="BJ303" s="204"/>
      <c r="BK303" s="204"/>
      <c r="BL303" s="204"/>
      <c r="BM303" s="204"/>
      <c r="BN303" s="204"/>
      <c r="BO303" s="204"/>
      <c r="BP303" s="204"/>
      <c r="BQ303" s="204"/>
      <c r="BR303" s="204"/>
      <c r="BS303" s="204"/>
      <c r="BT303" s="204"/>
      <c r="BU303" s="204"/>
      <c r="BV303" s="204"/>
      <c r="BW303" s="204"/>
      <c r="BX303" s="204"/>
      <c r="BY303" s="204"/>
      <c r="BZ303" s="204"/>
      <c r="CA303" s="204"/>
      <c r="CB303" s="207"/>
      <c r="CM303" s="209"/>
    </row>
    <row r="304" ht="15.75" customHeight="1">
      <c r="A304" s="200"/>
      <c r="B304" s="200"/>
      <c r="C304" s="200"/>
      <c r="D304" s="200"/>
      <c r="F304" s="234"/>
      <c r="G304" s="234"/>
      <c r="H304" s="235"/>
      <c r="I304" s="191"/>
      <c r="J304" s="191"/>
      <c r="K304" s="198"/>
      <c r="L304" s="198"/>
      <c r="M304" s="198"/>
      <c r="N304" s="198"/>
      <c r="O304" s="198"/>
      <c r="P304" s="198"/>
      <c r="Q304" s="198"/>
      <c r="S304" s="200"/>
      <c r="W304" s="207"/>
      <c r="AH304" s="204"/>
      <c r="AI304" s="204"/>
      <c r="AJ304" s="204"/>
      <c r="AK304" s="204"/>
      <c r="AL304" s="204"/>
      <c r="AM304" s="204"/>
      <c r="AN304" s="204"/>
      <c r="AX304" s="204"/>
      <c r="AY304" s="204"/>
      <c r="AZ304" s="204"/>
      <c r="BA304" s="204"/>
      <c r="BB304" s="204"/>
      <c r="BC304" s="204"/>
      <c r="BD304" s="204"/>
      <c r="BE304" s="204"/>
      <c r="BF304" s="204"/>
      <c r="BG304" s="204"/>
      <c r="BH304" s="204"/>
      <c r="BI304" s="204"/>
      <c r="BJ304" s="204"/>
      <c r="BK304" s="204"/>
      <c r="BL304" s="204"/>
      <c r="BM304" s="204"/>
      <c r="BN304" s="204"/>
      <c r="BO304" s="204"/>
      <c r="BP304" s="204"/>
      <c r="BQ304" s="204"/>
      <c r="BR304" s="204"/>
      <c r="BS304" s="204"/>
      <c r="BT304" s="204"/>
      <c r="BU304" s="204"/>
      <c r="BV304" s="204"/>
      <c r="BW304" s="204"/>
      <c r="BX304" s="204"/>
      <c r="BY304" s="204"/>
      <c r="BZ304" s="204"/>
      <c r="CA304" s="204"/>
      <c r="CB304" s="207"/>
      <c r="CM304" s="209"/>
    </row>
    <row r="305" ht="15.75" customHeight="1">
      <c r="A305" s="200"/>
      <c r="B305" s="200"/>
      <c r="C305" s="200"/>
      <c r="D305" s="200"/>
      <c r="F305" s="234"/>
      <c r="G305" s="234"/>
      <c r="H305" s="235"/>
      <c r="I305" s="191"/>
      <c r="J305" s="191"/>
      <c r="K305" s="198"/>
      <c r="L305" s="198"/>
      <c r="M305" s="198"/>
      <c r="N305" s="198"/>
      <c r="O305" s="198"/>
      <c r="P305" s="198"/>
      <c r="Q305" s="198"/>
      <c r="S305" s="200"/>
      <c r="W305" s="207"/>
      <c r="AH305" s="204"/>
      <c r="AI305" s="204"/>
      <c r="AJ305" s="204"/>
      <c r="AK305" s="204"/>
      <c r="AL305" s="204"/>
      <c r="AM305" s="204"/>
      <c r="AN305" s="204"/>
      <c r="AX305" s="204"/>
      <c r="AY305" s="204"/>
      <c r="AZ305" s="204"/>
      <c r="BA305" s="204"/>
      <c r="BB305" s="204"/>
      <c r="BC305" s="204"/>
      <c r="BD305" s="204"/>
      <c r="BE305" s="204"/>
      <c r="BF305" s="204"/>
      <c r="BG305" s="204"/>
      <c r="BH305" s="204"/>
      <c r="BI305" s="204"/>
      <c r="BJ305" s="204"/>
      <c r="BK305" s="204"/>
      <c r="BL305" s="204"/>
      <c r="BM305" s="204"/>
      <c r="BN305" s="204"/>
      <c r="BO305" s="204"/>
      <c r="BP305" s="204"/>
      <c r="BQ305" s="204"/>
      <c r="BR305" s="204"/>
      <c r="BS305" s="204"/>
      <c r="BT305" s="204"/>
      <c r="BU305" s="204"/>
      <c r="BV305" s="204"/>
      <c r="BW305" s="204"/>
      <c r="BX305" s="204"/>
      <c r="BY305" s="204"/>
      <c r="BZ305" s="204"/>
      <c r="CA305" s="204"/>
      <c r="CB305" s="207"/>
      <c r="CM305" s="209"/>
    </row>
    <row r="306" ht="15.75" customHeight="1">
      <c r="A306" s="200"/>
      <c r="B306" s="200"/>
      <c r="C306" s="200"/>
      <c r="D306" s="200"/>
      <c r="F306" s="234"/>
      <c r="G306" s="234"/>
      <c r="H306" s="235"/>
      <c r="I306" s="191"/>
      <c r="J306" s="191"/>
      <c r="K306" s="198"/>
      <c r="L306" s="198"/>
      <c r="M306" s="198"/>
      <c r="N306" s="198"/>
      <c r="O306" s="198"/>
      <c r="P306" s="198"/>
      <c r="Q306" s="198"/>
      <c r="S306" s="200"/>
      <c r="W306" s="207"/>
      <c r="AH306" s="204"/>
      <c r="AI306" s="204"/>
      <c r="AJ306" s="204"/>
      <c r="AK306" s="204"/>
      <c r="AL306" s="204"/>
      <c r="AM306" s="204"/>
      <c r="AN306" s="204"/>
      <c r="AX306" s="204"/>
      <c r="AY306" s="204"/>
      <c r="AZ306" s="204"/>
      <c r="BA306" s="204"/>
      <c r="BB306" s="204"/>
      <c r="BC306" s="204"/>
      <c r="BD306" s="204"/>
      <c r="BE306" s="204"/>
      <c r="BF306" s="204"/>
      <c r="BG306" s="204"/>
      <c r="BH306" s="204"/>
      <c r="BI306" s="204"/>
      <c r="BJ306" s="204"/>
      <c r="BK306" s="204"/>
      <c r="BL306" s="204"/>
      <c r="BM306" s="204"/>
      <c r="BN306" s="204"/>
      <c r="BO306" s="204"/>
      <c r="BP306" s="204"/>
      <c r="BQ306" s="204"/>
      <c r="BR306" s="204"/>
      <c r="BS306" s="204"/>
      <c r="BT306" s="204"/>
      <c r="BU306" s="204"/>
      <c r="BV306" s="204"/>
      <c r="BW306" s="204"/>
      <c r="BX306" s="204"/>
      <c r="BY306" s="204"/>
      <c r="BZ306" s="204"/>
      <c r="CA306" s="204"/>
      <c r="CB306" s="207"/>
      <c r="CM306" s="209"/>
    </row>
    <row r="307" ht="15.75" customHeight="1">
      <c r="A307" s="200"/>
      <c r="B307" s="200"/>
      <c r="C307" s="200"/>
      <c r="D307" s="200"/>
      <c r="F307" s="234"/>
      <c r="G307" s="234"/>
      <c r="H307" s="235"/>
      <c r="I307" s="191"/>
      <c r="J307" s="191"/>
      <c r="K307" s="198"/>
      <c r="L307" s="198"/>
      <c r="M307" s="198"/>
      <c r="N307" s="198"/>
      <c r="O307" s="198"/>
      <c r="P307" s="198"/>
      <c r="Q307" s="198"/>
      <c r="S307" s="200"/>
      <c r="W307" s="207"/>
      <c r="AH307" s="204"/>
      <c r="AI307" s="204"/>
      <c r="AJ307" s="204"/>
      <c r="AK307" s="204"/>
      <c r="AL307" s="204"/>
      <c r="AM307" s="204"/>
      <c r="AN307" s="204"/>
      <c r="AX307" s="204"/>
      <c r="AY307" s="204"/>
      <c r="AZ307" s="204"/>
      <c r="BA307" s="204"/>
      <c r="BB307" s="204"/>
      <c r="BC307" s="204"/>
      <c r="BD307" s="204"/>
      <c r="BE307" s="204"/>
      <c r="BF307" s="204"/>
      <c r="BG307" s="204"/>
      <c r="BH307" s="204"/>
      <c r="BI307" s="204"/>
      <c r="BJ307" s="204"/>
      <c r="BK307" s="204"/>
      <c r="BL307" s="204"/>
      <c r="BM307" s="204"/>
      <c r="BN307" s="204"/>
      <c r="BO307" s="204"/>
      <c r="BP307" s="204"/>
      <c r="BQ307" s="204"/>
      <c r="BR307" s="204"/>
      <c r="BS307" s="204"/>
      <c r="BT307" s="204"/>
      <c r="BU307" s="204"/>
      <c r="BV307" s="204"/>
      <c r="BW307" s="204"/>
      <c r="BX307" s="204"/>
      <c r="BY307" s="204"/>
      <c r="BZ307" s="204"/>
      <c r="CA307" s="204"/>
      <c r="CB307" s="207"/>
      <c r="CM307" s="209"/>
    </row>
    <row r="308" ht="15.75" customHeight="1">
      <c r="A308" s="200"/>
      <c r="B308" s="200"/>
      <c r="C308" s="200"/>
      <c r="D308" s="200"/>
      <c r="F308" s="234"/>
      <c r="G308" s="234"/>
      <c r="H308" s="235"/>
      <c r="I308" s="191"/>
      <c r="J308" s="191"/>
      <c r="K308" s="198"/>
      <c r="L308" s="198"/>
      <c r="M308" s="198"/>
      <c r="N308" s="198"/>
      <c r="O308" s="198"/>
      <c r="P308" s="198"/>
      <c r="Q308" s="198"/>
      <c r="S308" s="200"/>
      <c r="W308" s="207"/>
      <c r="AH308" s="204"/>
      <c r="AI308" s="204"/>
      <c r="AJ308" s="204"/>
      <c r="AK308" s="204"/>
      <c r="AL308" s="204"/>
      <c r="AM308" s="204"/>
      <c r="AN308" s="204"/>
      <c r="AX308" s="204"/>
      <c r="AY308" s="204"/>
      <c r="AZ308" s="204"/>
      <c r="BA308" s="204"/>
      <c r="BB308" s="204"/>
      <c r="BC308" s="204"/>
      <c r="BD308" s="204"/>
      <c r="BE308" s="204"/>
      <c r="BF308" s="204"/>
      <c r="BG308" s="204"/>
      <c r="BH308" s="204"/>
      <c r="BI308" s="204"/>
      <c r="BJ308" s="204"/>
      <c r="BK308" s="204"/>
      <c r="BL308" s="204"/>
      <c r="BM308" s="204"/>
      <c r="BN308" s="204"/>
      <c r="BO308" s="204"/>
      <c r="BP308" s="204"/>
      <c r="BQ308" s="204"/>
      <c r="BR308" s="204"/>
      <c r="BS308" s="204"/>
      <c r="BT308" s="204"/>
      <c r="BU308" s="204"/>
      <c r="BV308" s="204"/>
      <c r="BW308" s="204"/>
      <c r="BX308" s="204"/>
      <c r="BY308" s="204"/>
      <c r="BZ308" s="204"/>
      <c r="CA308" s="204"/>
      <c r="CB308" s="207"/>
      <c r="CM308" s="209"/>
    </row>
    <row r="309" ht="15.75" customHeight="1">
      <c r="A309" s="200"/>
      <c r="B309" s="200"/>
      <c r="C309" s="200"/>
      <c r="D309" s="200"/>
      <c r="F309" s="234"/>
      <c r="G309" s="234"/>
      <c r="H309" s="235"/>
      <c r="I309" s="191"/>
      <c r="J309" s="191"/>
      <c r="K309" s="198"/>
      <c r="L309" s="198"/>
      <c r="M309" s="198"/>
      <c r="N309" s="198"/>
      <c r="O309" s="198"/>
      <c r="P309" s="198"/>
      <c r="Q309" s="198"/>
      <c r="S309" s="200"/>
      <c r="W309" s="207"/>
      <c r="AH309" s="204"/>
      <c r="AI309" s="204"/>
      <c r="AJ309" s="204"/>
      <c r="AK309" s="204"/>
      <c r="AL309" s="204"/>
      <c r="AM309" s="204"/>
      <c r="AN309" s="204"/>
      <c r="AX309" s="204"/>
      <c r="AY309" s="204"/>
      <c r="AZ309" s="204"/>
      <c r="BA309" s="204"/>
      <c r="BB309" s="204"/>
      <c r="BC309" s="204"/>
      <c r="BD309" s="204"/>
      <c r="BE309" s="204"/>
      <c r="BF309" s="204"/>
      <c r="BG309" s="204"/>
      <c r="BH309" s="204"/>
      <c r="BI309" s="204"/>
      <c r="BJ309" s="204"/>
      <c r="BK309" s="204"/>
      <c r="BL309" s="204"/>
      <c r="BM309" s="204"/>
      <c r="BN309" s="204"/>
      <c r="BO309" s="204"/>
      <c r="BP309" s="204"/>
      <c r="BQ309" s="204"/>
      <c r="BR309" s="204"/>
      <c r="BS309" s="204"/>
      <c r="BT309" s="204"/>
      <c r="BU309" s="204"/>
      <c r="BV309" s="204"/>
      <c r="BW309" s="204"/>
      <c r="BX309" s="204"/>
      <c r="BY309" s="204"/>
      <c r="BZ309" s="204"/>
      <c r="CA309" s="204"/>
      <c r="CB309" s="207"/>
      <c r="CM309" s="209"/>
    </row>
    <row r="310" ht="15.75" customHeight="1">
      <c r="A310" s="200"/>
      <c r="B310" s="200"/>
      <c r="C310" s="200"/>
      <c r="D310" s="200"/>
      <c r="F310" s="234"/>
      <c r="G310" s="234"/>
      <c r="H310" s="235"/>
      <c r="I310" s="191"/>
      <c r="J310" s="191"/>
      <c r="K310" s="198"/>
      <c r="L310" s="198"/>
      <c r="M310" s="198"/>
      <c r="N310" s="198"/>
      <c r="O310" s="198"/>
      <c r="P310" s="198"/>
      <c r="Q310" s="198"/>
      <c r="S310" s="200"/>
      <c r="W310" s="207"/>
      <c r="AH310" s="204"/>
      <c r="AI310" s="204"/>
      <c r="AJ310" s="204"/>
      <c r="AK310" s="204"/>
      <c r="AL310" s="204"/>
      <c r="AM310" s="204"/>
      <c r="AN310" s="204"/>
      <c r="AX310" s="204"/>
      <c r="AY310" s="204"/>
      <c r="AZ310" s="204"/>
      <c r="BA310" s="204"/>
      <c r="BB310" s="204"/>
      <c r="BC310" s="204"/>
      <c r="BD310" s="204"/>
      <c r="BE310" s="204"/>
      <c r="BF310" s="204"/>
      <c r="BG310" s="204"/>
      <c r="BH310" s="204"/>
      <c r="BI310" s="204"/>
      <c r="BJ310" s="204"/>
      <c r="BK310" s="204"/>
      <c r="BL310" s="204"/>
      <c r="BM310" s="204"/>
      <c r="BN310" s="204"/>
      <c r="BO310" s="204"/>
      <c r="BP310" s="204"/>
      <c r="BQ310" s="204"/>
      <c r="BR310" s="204"/>
      <c r="BS310" s="204"/>
      <c r="BT310" s="204"/>
      <c r="BU310" s="204"/>
      <c r="BV310" s="204"/>
      <c r="BW310" s="204"/>
      <c r="BX310" s="204"/>
      <c r="BY310" s="204"/>
      <c r="BZ310" s="204"/>
      <c r="CA310" s="204"/>
      <c r="CB310" s="207"/>
      <c r="CM310" s="209"/>
    </row>
    <row r="311" ht="15.75" customHeight="1">
      <c r="A311" s="200"/>
      <c r="B311" s="200"/>
      <c r="C311" s="200"/>
      <c r="D311" s="200"/>
      <c r="F311" s="234"/>
      <c r="G311" s="234"/>
      <c r="H311" s="235"/>
      <c r="I311" s="191"/>
      <c r="J311" s="191"/>
      <c r="K311" s="198"/>
      <c r="L311" s="198"/>
      <c r="M311" s="198"/>
      <c r="N311" s="198"/>
      <c r="O311" s="198"/>
      <c r="P311" s="198"/>
      <c r="Q311" s="198"/>
      <c r="S311" s="200"/>
      <c r="W311" s="207"/>
      <c r="AH311" s="204"/>
      <c r="AI311" s="204"/>
      <c r="AJ311" s="204"/>
      <c r="AK311" s="204"/>
      <c r="AL311" s="204"/>
      <c r="AM311" s="204"/>
      <c r="AN311" s="204"/>
      <c r="AX311" s="204"/>
      <c r="AY311" s="204"/>
      <c r="AZ311" s="204"/>
      <c r="BA311" s="204"/>
      <c r="BB311" s="204"/>
      <c r="BC311" s="204"/>
      <c r="BD311" s="204"/>
      <c r="BE311" s="204"/>
      <c r="BF311" s="204"/>
      <c r="BG311" s="204"/>
      <c r="BH311" s="204"/>
      <c r="BI311" s="204"/>
      <c r="BJ311" s="204"/>
      <c r="BK311" s="204"/>
      <c r="BL311" s="204"/>
      <c r="BM311" s="204"/>
      <c r="BN311" s="204"/>
      <c r="BO311" s="204"/>
      <c r="BP311" s="204"/>
      <c r="BQ311" s="204"/>
      <c r="BR311" s="204"/>
      <c r="BS311" s="204"/>
      <c r="BT311" s="204"/>
      <c r="BU311" s="204"/>
      <c r="BV311" s="204"/>
      <c r="BW311" s="204"/>
      <c r="BX311" s="204"/>
      <c r="BY311" s="204"/>
      <c r="BZ311" s="204"/>
      <c r="CA311" s="204"/>
      <c r="CB311" s="207"/>
      <c r="CM311" s="209"/>
    </row>
    <row r="312" ht="15.75" customHeight="1">
      <c r="A312" s="200"/>
      <c r="B312" s="200"/>
      <c r="C312" s="200"/>
      <c r="D312" s="200"/>
      <c r="F312" s="234"/>
      <c r="G312" s="234"/>
      <c r="H312" s="235"/>
      <c r="I312" s="191"/>
      <c r="J312" s="191"/>
      <c r="K312" s="198"/>
      <c r="L312" s="198"/>
      <c r="M312" s="198"/>
      <c r="N312" s="198"/>
      <c r="O312" s="198"/>
      <c r="P312" s="198"/>
      <c r="Q312" s="198"/>
      <c r="S312" s="200"/>
      <c r="W312" s="207"/>
      <c r="AH312" s="204"/>
      <c r="AI312" s="204"/>
      <c r="AJ312" s="204"/>
      <c r="AK312" s="204"/>
      <c r="AL312" s="204"/>
      <c r="AM312" s="204"/>
      <c r="AN312" s="204"/>
      <c r="AX312" s="204"/>
      <c r="AY312" s="204"/>
      <c r="AZ312" s="204"/>
      <c r="BA312" s="204"/>
      <c r="BB312" s="204"/>
      <c r="BC312" s="204"/>
      <c r="BD312" s="204"/>
      <c r="BE312" s="204"/>
      <c r="BF312" s="204"/>
      <c r="BG312" s="204"/>
      <c r="BH312" s="204"/>
      <c r="BI312" s="204"/>
      <c r="BJ312" s="204"/>
      <c r="BK312" s="204"/>
      <c r="BL312" s="204"/>
      <c r="BM312" s="204"/>
      <c r="BN312" s="204"/>
      <c r="BO312" s="204"/>
      <c r="BP312" s="204"/>
      <c r="BQ312" s="204"/>
      <c r="BR312" s="204"/>
      <c r="BS312" s="204"/>
      <c r="BT312" s="204"/>
      <c r="BU312" s="204"/>
      <c r="BV312" s="204"/>
      <c r="BW312" s="204"/>
      <c r="BX312" s="204"/>
      <c r="BY312" s="204"/>
      <c r="BZ312" s="204"/>
      <c r="CA312" s="204"/>
      <c r="CB312" s="207"/>
      <c r="CM312" s="209"/>
    </row>
    <row r="313" ht="15.75" customHeight="1">
      <c r="A313" s="200"/>
      <c r="B313" s="200"/>
      <c r="C313" s="200"/>
      <c r="D313" s="200"/>
      <c r="F313" s="234"/>
      <c r="G313" s="234"/>
      <c r="H313" s="235"/>
      <c r="I313" s="191"/>
      <c r="J313" s="191"/>
      <c r="K313" s="198"/>
      <c r="L313" s="198"/>
      <c r="M313" s="198"/>
      <c r="N313" s="198"/>
      <c r="O313" s="198"/>
      <c r="P313" s="198"/>
      <c r="Q313" s="198"/>
      <c r="S313" s="200"/>
      <c r="W313" s="207"/>
      <c r="AH313" s="204"/>
      <c r="AI313" s="204"/>
      <c r="AJ313" s="204"/>
      <c r="AK313" s="204"/>
      <c r="AL313" s="204"/>
      <c r="AM313" s="204"/>
      <c r="AN313" s="204"/>
      <c r="AX313" s="204"/>
      <c r="AY313" s="204"/>
      <c r="AZ313" s="204"/>
      <c r="BA313" s="204"/>
      <c r="BB313" s="204"/>
      <c r="BC313" s="204"/>
      <c r="BD313" s="204"/>
      <c r="BE313" s="204"/>
      <c r="BF313" s="204"/>
      <c r="BG313" s="204"/>
      <c r="BH313" s="204"/>
      <c r="BI313" s="204"/>
      <c r="BJ313" s="204"/>
      <c r="BK313" s="204"/>
      <c r="BL313" s="204"/>
      <c r="BM313" s="204"/>
      <c r="BN313" s="204"/>
      <c r="BO313" s="204"/>
      <c r="BP313" s="204"/>
      <c r="BQ313" s="204"/>
      <c r="BR313" s="204"/>
      <c r="BS313" s="204"/>
      <c r="BT313" s="204"/>
      <c r="BU313" s="204"/>
      <c r="BV313" s="204"/>
      <c r="BW313" s="204"/>
      <c r="BX313" s="204"/>
      <c r="BY313" s="204"/>
      <c r="BZ313" s="204"/>
      <c r="CA313" s="204"/>
      <c r="CB313" s="207"/>
      <c r="CM313" s="209"/>
    </row>
    <row r="314" ht="15.75" customHeight="1">
      <c r="A314" s="200"/>
      <c r="B314" s="200"/>
      <c r="C314" s="200"/>
      <c r="D314" s="200"/>
      <c r="F314" s="234"/>
      <c r="G314" s="234"/>
      <c r="H314" s="235"/>
      <c r="I314" s="191"/>
      <c r="J314" s="191"/>
      <c r="K314" s="198"/>
      <c r="L314" s="198"/>
      <c r="M314" s="198"/>
      <c r="N314" s="198"/>
      <c r="O314" s="198"/>
      <c r="P314" s="198"/>
      <c r="Q314" s="198"/>
      <c r="S314" s="200"/>
      <c r="W314" s="207"/>
      <c r="AH314" s="204"/>
      <c r="AI314" s="204"/>
      <c r="AJ314" s="204"/>
      <c r="AK314" s="204"/>
      <c r="AL314" s="204"/>
      <c r="AM314" s="204"/>
      <c r="AN314" s="204"/>
      <c r="AX314" s="204"/>
      <c r="AY314" s="204"/>
      <c r="AZ314" s="204"/>
      <c r="BA314" s="204"/>
      <c r="BB314" s="204"/>
      <c r="BC314" s="204"/>
      <c r="BD314" s="204"/>
      <c r="BE314" s="204"/>
      <c r="BF314" s="204"/>
      <c r="BG314" s="204"/>
      <c r="BH314" s="204"/>
      <c r="BI314" s="204"/>
      <c r="BJ314" s="204"/>
      <c r="BK314" s="204"/>
      <c r="BL314" s="204"/>
      <c r="BM314" s="204"/>
      <c r="BN314" s="204"/>
      <c r="BO314" s="204"/>
      <c r="BP314" s="204"/>
      <c r="BQ314" s="204"/>
      <c r="BR314" s="204"/>
      <c r="BS314" s="204"/>
      <c r="BT314" s="204"/>
      <c r="BU314" s="204"/>
      <c r="BV314" s="204"/>
      <c r="BW314" s="204"/>
      <c r="BX314" s="204"/>
      <c r="BY314" s="204"/>
      <c r="BZ314" s="204"/>
      <c r="CA314" s="204"/>
      <c r="CB314" s="207"/>
      <c r="CM314" s="209"/>
    </row>
    <row r="315" ht="15.75" customHeight="1">
      <c r="A315" s="200"/>
      <c r="B315" s="200"/>
      <c r="C315" s="200"/>
      <c r="D315" s="200"/>
      <c r="F315" s="234"/>
      <c r="G315" s="234"/>
      <c r="H315" s="235"/>
      <c r="I315" s="191"/>
      <c r="J315" s="191"/>
      <c r="K315" s="198"/>
      <c r="L315" s="198"/>
      <c r="M315" s="198"/>
      <c r="N315" s="198"/>
      <c r="O315" s="198"/>
      <c r="P315" s="198"/>
      <c r="Q315" s="198"/>
      <c r="S315" s="200"/>
      <c r="W315" s="207"/>
      <c r="AH315" s="204"/>
      <c r="AI315" s="204"/>
      <c r="AJ315" s="204"/>
      <c r="AK315" s="204"/>
      <c r="AL315" s="204"/>
      <c r="AM315" s="204"/>
      <c r="AN315" s="204"/>
      <c r="AX315" s="204"/>
      <c r="AY315" s="204"/>
      <c r="AZ315" s="204"/>
      <c r="BA315" s="204"/>
      <c r="BB315" s="204"/>
      <c r="BC315" s="204"/>
      <c r="BD315" s="204"/>
      <c r="BE315" s="204"/>
      <c r="BF315" s="204"/>
      <c r="BG315" s="204"/>
      <c r="BH315" s="204"/>
      <c r="BI315" s="204"/>
      <c r="BJ315" s="204"/>
      <c r="BK315" s="204"/>
      <c r="BL315" s="204"/>
      <c r="BM315" s="204"/>
      <c r="BN315" s="204"/>
      <c r="BO315" s="204"/>
      <c r="BP315" s="204"/>
      <c r="BQ315" s="204"/>
      <c r="BR315" s="204"/>
      <c r="BS315" s="204"/>
      <c r="BT315" s="204"/>
      <c r="BU315" s="204"/>
      <c r="BV315" s="204"/>
      <c r="BW315" s="204"/>
      <c r="BX315" s="204"/>
      <c r="BY315" s="204"/>
      <c r="BZ315" s="204"/>
      <c r="CA315" s="204"/>
      <c r="CB315" s="207"/>
      <c r="CM315" s="209"/>
    </row>
    <row r="316" ht="15.75" customHeight="1">
      <c r="A316" s="200"/>
      <c r="B316" s="200"/>
      <c r="C316" s="200"/>
      <c r="D316" s="200"/>
      <c r="F316" s="234"/>
      <c r="G316" s="234"/>
      <c r="H316" s="235"/>
      <c r="I316" s="191"/>
      <c r="J316" s="191"/>
      <c r="K316" s="198"/>
      <c r="L316" s="198"/>
      <c r="M316" s="198"/>
      <c r="N316" s="198"/>
      <c r="O316" s="198"/>
      <c r="P316" s="198"/>
      <c r="Q316" s="198"/>
      <c r="S316" s="200"/>
      <c r="W316" s="207"/>
      <c r="AH316" s="204"/>
      <c r="AI316" s="204"/>
      <c r="AJ316" s="204"/>
      <c r="AK316" s="204"/>
      <c r="AL316" s="204"/>
      <c r="AM316" s="204"/>
      <c r="AN316" s="204"/>
      <c r="AX316" s="204"/>
      <c r="AY316" s="204"/>
      <c r="AZ316" s="204"/>
      <c r="BA316" s="204"/>
      <c r="BB316" s="204"/>
      <c r="BC316" s="204"/>
      <c r="BD316" s="204"/>
      <c r="BE316" s="204"/>
      <c r="BF316" s="204"/>
      <c r="BG316" s="204"/>
      <c r="BH316" s="204"/>
      <c r="BI316" s="204"/>
      <c r="BJ316" s="204"/>
      <c r="BK316" s="204"/>
      <c r="BL316" s="204"/>
      <c r="BM316" s="204"/>
      <c r="BN316" s="204"/>
      <c r="BO316" s="204"/>
      <c r="BP316" s="204"/>
      <c r="BQ316" s="204"/>
      <c r="BR316" s="204"/>
      <c r="BS316" s="204"/>
      <c r="BT316" s="204"/>
      <c r="BU316" s="204"/>
      <c r="BV316" s="204"/>
      <c r="BW316" s="204"/>
      <c r="BX316" s="204"/>
      <c r="BY316" s="204"/>
      <c r="BZ316" s="204"/>
      <c r="CA316" s="204"/>
      <c r="CB316" s="207"/>
      <c r="CM316" s="209"/>
    </row>
    <row r="317" ht="15.75" customHeight="1">
      <c r="A317" s="200"/>
      <c r="B317" s="200"/>
      <c r="C317" s="200"/>
      <c r="D317" s="200"/>
      <c r="F317" s="234"/>
      <c r="G317" s="234"/>
      <c r="H317" s="235"/>
      <c r="I317" s="191"/>
      <c r="J317" s="191"/>
      <c r="K317" s="198"/>
      <c r="L317" s="198"/>
      <c r="M317" s="198"/>
      <c r="N317" s="198"/>
      <c r="O317" s="198"/>
      <c r="P317" s="198"/>
      <c r="Q317" s="198"/>
      <c r="S317" s="200"/>
      <c r="W317" s="207"/>
      <c r="AH317" s="204"/>
      <c r="AI317" s="204"/>
      <c r="AJ317" s="204"/>
      <c r="AK317" s="204"/>
      <c r="AL317" s="204"/>
      <c r="AM317" s="204"/>
      <c r="AN317" s="204"/>
      <c r="AX317" s="204"/>
      <c r="AY317" s="204"/>
      <c r="AZ317" s="204"/>
      <c r="BA317" s="204"/>
      <c r="BB317" s="204"/>
      <c r="BC317" s="204"/>
      <c r="BD317" s="204"/>
      <c r="BE317" s="204"/>
      <c r="BF317" s="204"/>
      <c r="BG317" s="204"/>
      <c r="BH317" s="204"/>
      <c r="BI317" s="204"/>
      <c r="BJ317" s="204"/>
      <c r="BK317" s="204"/>
      <c r="BL317" s="204"/>
      <c r="BM317" s="204"/>
      <c r="BN317" s="204"/>
      <c r="BO317" s="204"/>
      <c r="BP317" s="204"/>
      <c r="BQ317" s="204"/>
      <c r="BR317" s="204"/>
      <c r="BS317" s="204"/>
      <c r="BT317" s="204"/>
      <c r="BU317" s="204"/>
      <c r="BV317" s="204"/>
      <c r="BW317" s="204"/>
      <c r="BX317" s="204"/>
      <c r="BY317" s="204"/>
      <c r="BZ317" s="204"/>
      <c r="CA317" s="204"/>
      <c r="CB317" s="207"/>
      <c r="CM317" s="209"/>
    </row>
    <row r="318" ht="15.75" customHeight="1">
      <c r="A318" s="200"/>
      <c r="B318" s="200"/>
      <c r="C318" s="200"/>
      <c r="D318" s="200"/>
      <c r="F318" s="234"/>
      <c r="G318" s="234"/>
      <c r="H318" s="235"/>
      <c r="I318" s="191"/>
      <c r="J318" s="191"/>
      <c r="K318" s="198"/>
      <c r="L318" s="198"/>
      <c r="M318" s="198"/>
      <c r="N318" s="198"/>
      <c r="O318" s="198"/>
      <c r="P318" s="198"/>
      <c r="Q318" s="198"/>
      <c r="S318" s="200"/>
      <c r="W318" s="207"/>
      <c r="AH318" s="204"/>
      <c r="AI318" s="204"/>
      <c r="AJ318" s="204"/>
      <c r="AK318" s="204"/>
      <c r="AL318" s="204"/>
      <c r="AM318" s="204"/>
      <c r="AN318" s="204"/>
      <c r="AX318" s="204"/>
      <c r="AY318" s="204"/>
      <c r="AZ318" s="204"/>
      <c r="BA318" s="204"/>
      <c r="BB318" s="204"/>
      <c r="BC318" s="204"/>
      <c r="BD318" s="204"/>
      <c r="BE318" s="204"/>
      <c r="BF318" s="204"/>
      <c r="BG318" s="204"/>
      <c r="BH318" s="204"/>
      <c r="BI318" s="204"/>
      <c r="BJ318" s="204"/>
      <c r="BK318" s="204"/>
      <c r="BL318" s="204"/>
      <c r="BM318" s="204"/>
      <c r="BN318" s="204"/>
      <c r="BO318" s="204"/>
      <c r="BP318" s="204"/>
      <c r="BQ318" s="204"/>
      <c r="BR318" s="204"/>
      <c r="BS318" s="204"/>
      <c r="BT318" s="204"/>
      <c r="BU318" s="204"/>
      <c r="BV318" s="204"/>
      <c r="BW318" s="204"/>
      <c r="BX318" s="204"/>
      <c r="BY318" s="204"/>
      <c r="BZ318" s="204"/>
      <c r="CA318" s="204"/>
      <c r="CB318" s="207"/>
      <c r="CM318" s="209"/>
    </row>
    <row r="319" ht="15.75" customHeight="1">
      <c r="A319" s="200"/>
      <c r="B319" s="200"/>
      <c r="C319" s="200"/>
      <c r="D319" s="200"/>
      <c r="F319" s="234"/>
      <c r="G319" s="234"/>
      <c r="H319" s="235"/>
      <c r="I319" s="191"/>
      <c r="J319" s="191"/>
      <c r="K319" s="198"/>
      <c r="L319" s="198"/>
      <c r="M319" s="198"/>
      <c r="N319" s="198"/>
      <c r="O319" s="198"/>
      <c r="P319" s="198"/>
      <c r="Q319" s="198"/>
      <c r="S319" s="200"/>
      <c r="W319" s="207"/>
      <c r="AH319" s="204"/>
      <c r="AI319" s="204"/>
      <c r="AJ319" s="204"/>
      <c r="AK319" s="204"/>
      <c r="AL319" s="204"/>
      <c r="AM319" s="204"/>
      <c r="AN319" s="204"/>
      <c r="AX319" s="204"/>
      <c r="AY319" s="204"/>
      <c r="AZ319" s="204"/>
      <c r="BA319" s="204"/>
      <c r="BB319" s="204"/>
      <c r="BC319" s="204"/>
      <c r="BD319" s="204"/>
      <c r="BE319" s="204"/>
      <c r="BF319" s="204"/>
      <c r="BG319" s="204"/>
      <c r="BH319" s="204"/>
      <c r="BI319" s="204"/>
      <c r="BJ319" s="204"/>
      <c r="BK319" s="204"/>
      <c r="BL319" s="204"/>
      <c r="BM319" s="204"/>
      <c r="BN319" s="204"/>
      <c r="BO319" s="204"/>
      <c r="BP319" s="204"/>
      <c r="BQ319" s="204"/>
      <c r="BR319" s="204"/>
      <c r="BS319" s="204"/>
      <c r="BT319" s="204"/>
      <c r="BU319" s="204"/>
      <c r="BV319" s="204"/>
      <c r="BW319" s="204"/>
      <c r="BX319" s="204"/>
      <c r="BY319" s="204"/>
      <c r="BZ319" s="204"/>
      <c r="CA319" s="204"/>
      <c r="CB319" s="207"/>
      <c r="CM319" s="209"/>
    </row>
    <row r="320" ht="15.75" customHeight="1">
      <c r="A320" s="200"/>
      <c r="B320" s="200"/>
      <c r="C320" s="200"/>
      <c r="D320" s="200"/>
      <c r="F320" s="234"/>
      <c r="G320" s="234"/>
      <c r="H320" s="235"/>
      <c r="I320" s="191"/>
      <c r="J320" s="191"/>
      <c r="K320" s="198"/>
      <c r="L320" s="198"/>
      <c r="M320" s="198"/>
      <c r="N320" s="198"/>
      <c r="O320" s="198"/>
      <c r="P320" s="198"/>
      <c r="Q320" s="198"/>
      <c r="S320" s="200"/>
      <c r="W320" s="207"/>
      <c r="AH320" s="204"/>
      <c r="AI320" s="204"/>
      <c r="AJ320" s="204"/>
      <c r="AK320" s="204"/>
      <c r="AL320" s="204"/>
      <c r="AM320" s="204"/>
      <c r="AN320" s="204"/>
      <c r="AX320" s="204"/>
      <c r="AY320" s="204"/>
      <c r="AZ320" s="204"/>
      <c r="BA320" s="204"/>
      <c r="BB320" s="204"/>
      <c r="BC320" s="204"/>
      <c r="BD320" s="204"/>
      <c r="BE320" s="204"/>
      <c r="BF320" s="204"/>
      <c r="BG320" s="204"/>
      <c r="BH320" s="204"/>
      <c r="BI320" s="204"/>
      <c r="BJ320" s="204"/>
      <c r="BK320" s="204"/>
      <c r="BL320" s="204"/>
      <c r="BM320" s="204"/>
      <c r="BN320" s="204"/>
      <c r="BO320" s="204"/>
      <c r="BP320" s="204"/>
      <c r="BQ320" s="204"/>
      <c r="BR320" s="204"/>
      <c r="BS320" s="204"/>
      <c r="BT320" s="204"/>
      <c r="BU320" s="204"/>
      <c r="BV320" s="204"/>
      <c r="BW320" s="204"/>
      <c r="BX320" s="204"/>
      <c r="BY320" s="204"/>
      <c r="BZ320" s="204"/>
      <c r="CA320" s="204"/>
      <c r="CB320" s="207"/>
      <c r="CM320" s="209"/>
    </row>
    <row r="321" ht="15.75" customHeight="1">
      <c r="A321" s="200"/>
      <c r="B321" s="200"/>
      <c r="C321" s="200"/>
      <c r="D321" s="200"/>
      <c r="F321" s="234"/>
      <c r="G321" s="234"/>
      <c r="H321" s="235"/>
      <c r="I321" s="191"/>
      <c r="J321" s="191"/>
      <c r="K321" s="198"/>
      <c r="L321" s="198"/>
      <c r="M321" s="198"/>
      <c r="N321" s="198"/>
      <c r="O321" s="198"/>
      <c r="P321" s="198"/>
      <c r="Q321" s="198"/>
      <c r="S321" s="200"/>
      <c r="W321" s="207"/>
      <c r="AH321" s="204"/>
      <c r="AI321" s="204"/>
      <c r="AJ321" s="204"/>
      <c r="AK321" s="204"/>
      <c r="AL321" s="204"/>
      <c r="AM321" s="204"/>
      <c r="AN321" s="204"/>
      <c r="AX321" s="204"/>
      <c r="AY321" s="204"/>
      <c r="AZ321" s="204"/>
      <c r="BA321" s="204"/>
      <c r="BB321" s="204"/>
      <c r="BC321" s="204"/>
      <c r="BD321" s="204"/>
      <c r="BE321" s="204"/>
      <c r="BF321" s="204"/>
      <c r="BG321" s="204"/>
      <c r="BH321" s="204"/>
      <c r="BI321" s="204"/>
      <c r="BJ321" s="204"/>
      <c r="BK321" s="204"/>
      <c r="BL321" s="204"/>
      <c r="BM321" s="204"/>
      <c r="BN321" s="204"/>
      <c r="BO321" s="204"/>
      <c r="BP321" s="204"/>
      <c r="BQ321" s="204"/>
      <c r="BR321" s="204"/>
      <c r="BS321" s="204"/>
      <c r="BT321" s="204"/>
      <c r="BU321" s="204"/>
      <c r="BV321" s="204"/>
      <c r="BW321" s="204"/>
      <c r="BX321" s="204"/>
      <c r="BY321" s="204"/>
      <c r="BZ321" s="204"/>
      <c r="CA321" s="204"/>
      <c r="CB321" s="207"/>
      <c r="CM321" s="209"/>
    </row>
    <row r="322" ht="15.75" customHeight="1">
      <c r="A322" s="200"/>
      <c r="B322" s="200"/>
      <c r="C322" s="200"/>
      <c r="D322" s="200"/>
      <c r="F322" s="234"/>
      <c r="G322" s="234"/>
      <c r="H322" s="235"/>
      <c r="I322" s="191"/>
      <c r="J322" s="191"/>
      <c r="K322" s="198"/>
      <c r="L322" s="198"/>
      <c r="M322" s="198"/>
      <c r="N322" s="198"/>
      <c r="O322" s="198"/>
      <c r="P322" s="198"/>
      <c r="Q322" s="198"/>
      <c r="S322" s="200"/>
      <c r="W322" s="207"/>
      <c r="AH322" s="204"/>
      <c r="AI322" s="204"/>
      <c r="AJ322" s="204"/>
      <c r="AK322" s="204"/>
      <c r="AL322" s="204"/>
      <c r="AM322" s="204"/>
      <c r="AN322" s="204"/>
      <c r="AX322" s="204"/>
      <c r="AY322" s="204"/>
      <c r="AZ322" s="204"/>
      <c r="BA322" s="204"/>
      <c r="BB322" s="204"/>
      <c r="BC322" s="204"/>
      <c r="BD322" s="204"/>
      <c r="BE322" s="204"/>
      <c r="BF322" s="204"/>
      <c r="BG322" s="204"/>
      <c r="BH322" s="204"/>
      <c r="BI322" s="204"/>
      <c r="BJ322" s="204"/>
      <c r="BK322" s="204"/>
      <c r="BL322" s="204"/>
      <c r="BM322" s="204"/>
      <c r="BN322" s="204"/>
      <c r="BO322" s="204"/>
      <c r="BP322" s="204"/>
      <c r="BQ322" s="204"/>
      <c r="BR322" s="204"/>
      <c r="BS322" s="204"/>
      <c r="BT322" s="204"/>
      <c r="BU322" s="204"/>
      <c r="BV322" s="204"/>
      <c r="BW322" s="204"/>
      <c r="BX322" s="204"/>
      <c r="BY322" s="204"/>
      <c r="BZ322" s="204"/>
      <c r="CA322" s="204"/>
      <c r="CB322" s="207"/>
      <c r="CM322" s="209"/>
    </row>
    <row r="323" ht="15.75" customHeight="1">
      <c r="A323" s="200"/>
      <c r="B323" s="200"/>
      <c r="C323" s="200"/>
      <c r="D323" s="200"/>
      <c r="F323" s="234"/>
      <c r="G323" s="234"/>
      <c r="H323" s="235"/>
      <c r="I323" s="191"/>
      <c r="J323" s="191"/>
      <c r="K323" s="198"/>
      <c r="L323" s="198"/>
      <c r="M323" s="198"/>
      <c r="N323" s="198"/>
      <c r="O323" s="198"/>
      <c r="P323" s="198"/>
      <c r="Q323" s="198"/>
      <c r="S323" s="200"/>
      <c r="W323" s="207"/>
      <c r="AH323" s="204"/>
      <c r="AI323" s="204"/>
      <c r="AJ323" s="204"/>
      <c r="AK323" s="204"/>
      <c r="AL323" s="204"/>
      <c r="AM323" s="204"/>
      <c r="AN323" s="204"/>
      <c r="AX323" s="204"/>
      <c r="AY323" s="204"/>
      <c r="AZ323" s="204"/>
      <c r="BA323" s="204"/>
      <c r="BB323" s="204"/>
      <c r="BC323" s="204"/>
      <c r="BD323" s="204"/>
      <c r="BE323" s="204"/>
      <c r="BF323" s="204"/>
      <c r="BG323" s="204"/>
      <c r="BH323" s="204"/>
      <c r="BI323" s="204"/>
      <c r="BJ323" s="204"/>
      <c r="BK323" s="204"/>
      <c r="BL323" s="204"/>
      <c r="BM323" s="204"/>
      <c r="BN323" s="204"/>
      <c r="BO323" s="204"/>
      <c r="BP323" s="204"/>
      <c r="BQ323" s="204"/>
      <c r="BR323" s="204"/>
      <c r="BS323" s="204"/>
      <c r="BT323" s="204"/>
      <c r="BU323" s="204"/>
      <c r="BV323" s="204"/>
      <c r="BW323" s="204"/>
      <c r="BX323" s="204"/>
      <c r="BY323" s="204"/>
      <c r="BZ323" s="204"/>
      <c r="CA323" s="204"/>
      <c r="CB323" s="207"/>
      <c r="CM323" s="209"/>
    </row>
    <row r="324" ht="15.75" customHeight="1">
      <c r="A324" s="200"/>
      <c r="B324" s="200"/>
      <c r="C324" s="200"/>
      <c r="D324" s="200"/>
      <c r="F324" s="234"/>
      <c r="G324" s="234"/>
      <c r="H324" s="235"/>
      <c r="I324" s="191"/>
      <c r="J324" s="191"/>
      <c r="K324" s="198"/>
      <c r="L324" s="198"/>
      <c r="M324" s="198"/>
      <c r="N324" s="198"/>
      <c r="O324" s="198"/>
      <c r="P324" s="198"/>
      <c r="Q324" s="198"/>
      <c r="S324" s="200"/>
      <c r="W324" s="207"/>
      <c r="AH324" s="204"/>
      <c r="AI324" s="204"/>
      <c r="AJ324" s="204"/>
      <c r="AK324" s="204"/>
      <c r="AL324" s="204"/>
      <c r="AM324" s="204"/>
      <c r="AN324" s="204"/>
      <c r="AX324" s="204"/>
      <c r="AY324" s="204"/>
      <c r="AZ324" s="204"/>
      <c r="BA324" s="204"/>
      <c r="BB324" s="204"/>
      <c r="BC324" s="204"/>
      <c r="BD324" s="204"/>
      <c r="BE324" s="204"/>
      <c r="BF324" s="204"/>
      <c r="BG324" s="204"/>
      <c r="BH324" s="204"/>
      <c r="BI324" s="204"/>
      <c r="BJ324" s="204"/>
      <c r="BK324" s="204"/>
      <c r="BL324" s="204"/>
      <c r="BM324" s="204"/>
      <c r="BN324" s="204"/>
      <c r="BO324" s="204"/>
      <c r="BP324" s="204"/>
      <c r="BQ324" s="204"/>
      <c r="BR324" s="204"/>
      <c r="BS324" s="204"/>
      <c r="BT324" s="204"/>
      <c r="BU324" s="204"/>
      <c r="BV324" s="204"/>
      <c r="BW324" s="204"/>
      <c r="BX324" s="204"/>
      <c r="BY324" s="204"/>
      <c r="BZ324" s="204"/>
      <c r="CA324" s="204"/>
      <c r="CB324" s="207"/>
      <c r="CM324" s="209"/>
    </row>
    <row r="325" ht="15.75" customHeight="1">
      <c r="A325" s="200"/>
      <c r="B325" s="200"/>
      <c r="C325" s="200"/>
      <c r="D325" s="200"/>
      <c r="F325" s="234"/>
      <c r="G325" s="234"/>
      <c r="H325" s="235"/>
      <c r="I325" s="191"/>
      <c r="J325" s="191"/>
      <c r="K325" s="198"/>
      <c r="L325" s="198"/>
      <c r="M325" s="198"/>
      <c r="N325" s="198"/>
      <c r="O325" s="198"/>
      <c r="P325" s="198"/>
      <c r="Q325" s="198"/>
      <c r="S325" s="200"/>
      <c r="W325" s="207"/>
      <c r="AH325" s="204"/>
      <c r="AI325" s="204"/>
      <c r="AJ325" s="204"/>
      <c r="AK325" s="204"/>
      <c r="AL325" s="204"/>
      <c r="AM325" s="204"/>
      <c r="AN325" s="204"/>
      <c r="AX325" s="204"/>
      <c r="AY325" s="204"/>
      <c r="AZ325" s="204"/>
      <c r="BA325" s="204"/>
      <c r="BB325" s="204"/>
      <c r="BC325" s="204"/>
      <c r="BD325" s="204"/>
      <c r="BE325" s="204"/>
      <c r="BF325" s="204"/>
      <c r="BG325" s="204"/>
      <c r="BH325" s="204"/>
      <c r="BI325" s="204"/>
      <c r="BJ325" s="204"/>
      <c r="BK325" s="204"/>
      <c r="BL325" s="204"/>
      <c r="BM325" s="204"/>
      <c r="BN325" s="204"/>
      <c r="BO325" s="204"/>
      <c r="BP325" s="204"/>
      <c r="BQ325" s="204"/>
      <c r="BR325" s="204"/>
      <c r="BS325" s="204"/>
      <c r="BT325" s="204"/>
      <c r="BU325" s="204"/>
      <c r="BV325" s="204"/>
      <c r="BW325" s="204"/>
      <c r="BX325" s="204"/>
      <c r="BY325" s="204"/>
      <c r="BZ325" s="204"/>
      <c r="CA325" s="204"/>
      <c r="CB325" s="207"/>
      <c r="CM325" s="209"/>
    </row>
    <row r="326" ht="15.75" customHeight="1">
      <c r="A326" s="200"/>
      <c r="B326" s="200"/>
      <c r="C326" s="200"/>
      <c r="D326" s="200"/>
      <c r="F326" s="234"/>
      <c r="G326" s="234"/>
      <c r="H326" s="235"/>
      <c r="I326" s="191"/>
      <c r="J326" s="191"/>
      <c r="K326" s="198"/>
      <c r="L326" s="198"/>
      <c r="M326" s="198"/>
      <c r="N326" s="198"/>
      <c r="O326" s="198"/>
      <c r="P326" s="198"/>
      <c r="Q326" s="198"/>
      <c r="S326" s="200"/>
      <c r="W326" s="207"/>
      <c r="AH326" s="204"/>
      <c r="AI326" s="204"/>
      <c r="AJ326" s="204"/>
      <c r="AK326" s="204"/>
      <c r="AL326" s="204"/>
      <c r="AM326" s="204"/>
      <c r="AN326" s="204"/>
      <c r="AX326" s="204"/>
      <c r="AY326" s="204"/>
      <c r="AZ326" s="204"/>
      <c r="BA326" s="204"/>
      <c r="BB326" s="204"/>
      <c r="BC326" s="204"/>
      <c r="BD326" s="204"/>
      <c r="BE326" s="204"/>
      <c r="BF326" s="204"/>
      <c r="BG326" s="204"/>
      <c r="BH326" s="204"/>
      <c r="BI326" s="204"/>
      <c r="BJ326" s="204"/>
      <c r="BK326" s="204"/>
      <c r="BL326" s="204"/>
      <c r="BM326" s="204"/>
      <c r="BN326" s="204"/>
      <c r="BO326" s="204"/>
      <c r="BP326" s="204"/>
      <c r="BQ326" s="204"/>
      <c r="BR326" s="204"/>
      <c r="BS326" s="204"/>
      <c r="BT326" s="204"/>
      <c r="BU326" s="204"/>
      <c r="BV326" s="204"/>
      <c r="BW326" s="204"/>
      <c r="BX326" s="204"/>
      <c r="BY326" s="204"/>
      <c r="BZ326" s="204"/>
      <c r="CA326" s="204"/>
      <c r="CB326" s="207"/>
      <c r="CM326" s="209"/>
    </row>
    <row r="327" ht="15.75" customHeight="1">
      <c r="A327" s="200"/>
      <c r="B327" s="200"/>
      <c r="C327" s="200"/>
      <c r="D327" s="200"/>
      <c r="F327" s="234"/>
      <c r="G327" s="234"/>
      <c r="H327" s="235"/>
      <c r="I327" s="191"/>
      <c r="J327" s="191"/>
      <c r="K327" s="198"/>
      <c r="L327" s="198"/>
      <c r="M327" s="198"/>
      <c r="N327" s="198"/>
      <c r="O327" s="198"/>
      <c r="P327" s="198"/>
      <c r="Q327" s="198"/>
      <c r="S327" s="200"/>
      <c r="W327" s="207"/>
      <c r="AH327" s="204"/>
      <c r="AI327" s="204"/>
      <c r="AJ327" s="204"/>
      <c r="AK327" s="204"/>
      <c r="AL327" s="204"/>
      <c r="AM327" s="204"/>
      <c r="AN327" s="204"/>
      <c r="AX327" s="204"/>
      <c r="AY327" s="204"/>
      <c r="AZ327" s="204"/>
      <c r="BA327" s="204"/>
      <c r="BB327" s="204"/>
      <c r="BC327" s="204"/>
      <c r="BD327" s="204"/>
      <c r="BE327" s="204"/>
      <c r="BF327" s="204"/>
      <c r="BG327" s="204"/>
      <c r="BH327" s="204"/>
      <c r="BI327" s="204"/>
      <c r="BJ327" s="204"/>
      <c r="BK327" s="204"/>
      <c r="BL327" s="204"/>
      <c r="BM327" s="204"/>
      <c r="BN327" s="204"/>
      <c r="BO327" s="204"/>
      <c r="BP327" s="204"/>
      <c r="BQ327" s="204"/>
      <c r="BR327" s="204"/>
      <c r="BS327" s="204"/>
      <c r="BT327" s="204"/>
      <c r="BU327" s="204"/>
      <c r="BV327" s="204"/>
      <c r="BW327" s="204"/>
      <c r="BX327" s="204"/>
      <c r="BY327" s="204"/>
      <c r="BZ327" s="204"/>
      <c r="CA327" s="204"/>
      <c r="CB327" s="207"/>
      <c r="CM327" s="209"/>
    </row>
    <row r="328" ht="15.75" customHeight="1">
      <c r="A328" s="200"/>
      <c r="B328" s="200"/>
      <c r="C328" s="200"/>
      <c r="D328" s="200"/>
      <c r="F328" s="234"/>
      <c r="G328" s="234"/>
      <c r="H328" s="235"/>
      <c r="I328" s="191"/>
      <c r="J328" s="191"/>
      <c r="K328" s="198"/>
      <c r="L328" s="198"/>
      <c r="M328" s="198"/>
      <c r="N328" s="198"/>
      <c r="O328" s="198"/>
      <c r="P328" s="198"/>
      <c r="Q328" s="198"/>
      <c r="S328" s="200"/>
      <c r="W328" s="207"/>
      <c r="AH328" s="204"/>
      <c r="AI328" s="204"/>
      <c r="AJ328" s="204"/>
      <c r="AK328" s="204"/>
      <c r="AL328" s="204"/>
      <c r="AM328" s="204"/>
      <c r="AN328" s="204"/>
      <c r="AX328" s="204"/>
      <c r="AY328" s="204"/>
      <c r="AZ328" s="204"/>
      <c r="BA328" s="204"/>
      <c r="BB328" s="204"/>
      <c r="BC328" s="204"/>
      <c r="BD328" s="204"/>
      <c r="BE328" s="204"/>
      <c r="BF328" s="204"/>
      <c r="BG328" s="204"/>
      <c r="BH328" s="204"/>
      <c r="BI328" s="204"/>
      <c r="BJ328" s="204"/>
      <c r="BK328" s="204"/>
      <c r="BL328" s="204"/>
      <c r="BM328" s="204"/>
      <c r="BN328" s="204"/>
      <c r="BO328" s="204"/>
      <c r="BP328" s="204"/>
      <c r="BQ328" s="204"/>
      <c r="BR328" s="204"/>
      <c r="BS328" s="204"/>
      <c r="BT328" s="204"/>
      <c r="BU328" s="204"/>
      <c r="BV328" s="204"/>
      <c r="BW328" s="204"/>
      <c r="BX328" s="204"/>
      <c r="BY328" s="204"/>
      <c r="BZ328" s="204"/>
      <c r="CA328" s="204"/>
      <c r="CB328" s="207"/>
      <c r="CM328" s="209"/>
    </row>
    <row r="329" ht="15.75" customHeight="1">
      <c r="A329" s="200"/>
      <c r="B329" s="200"/>
      <c r="C329" s="200"/>
      <c r="D329" s="200"/>
      <c r="F329" s="234"/>
      <c r="G329" s="234"/>
      <c r="H329" s="235"/>
      <c r="I329" s="191"/>
      <c r="J329" s="191"/>
      <c r="K329" s="198"/>
      <c r="L329" s="198"/>
      <c r="M329" s="198"/>
      <c r="N329" s="198"/>
      <c r="O329" s="198"/>
      <c r="P329" s="198"/>
      <c r="Q329" s="198"/>
      <c r="S329" s="200"/>
      <c r="W329" s="207"/>
      <c r="AH329" s="204"/>
      <c r="AI329" s="204"/>
      <c r="AJ329" s="204"/>
      <c r="AK329" s="204"/>
      <c r="AL329" s="204"/>
      <c r="AM329" s="204"/>
      <c r="AN329" s="204"/>
      <c r="AX329" s="204"/>
      <c r="AY329" s="204"/>
      <c r="AZ329" s="204"/>
      <c r="BA329" s="204"/>
      <c r="BB329" s="204"/>
      <c r="BC329" s="204"/>
      <c r="BD329" s="204"/>
      <c r="BE329" s="204"/>
      <c r="BF329" s="204"/>
      <c r="BG329" s="204"/>
      <c r="BH329" s="204"/>
      <c r="BI329" s="204"/>
      <c r="BJ329" s="204"/>
      <c r="BK329" s="204"/>
      <c r="BL329" s="204"/>
      <c r="BM329" s="204"/>
      <c r="BN329" s="204"/>
      <c r="BO329" s="204"/>
      <c r="BP329" s="204"/>
      <c r="BQ329" s="204"/>
      <c r="BR329" s="204"/>
      <c r="BS329" s="204"/>
      <c r="BT329" s="204"/>
      <c r="BU329" s="204"/>
      <c r="BV329" s="204"/>
      <c r="BW329" s="204"/>
      <c r="BX329" s="204"/>
      <c r="BY329" s="204"/>
      <c r="BZ329" s="204"/>
      <c r="CA329" s="204"/>
      <c r="CB329" s="207"/>
      <c r="CM329" s="209"/>
    </row>
    <row r="330" ht="15.75" customHeight="1">
      <c r="A330" s="200"/>
      <c r="B330" s="200"/>
      <c r="C330" s="200"/>
      <c r="D330" s="200"/>
      <c r="F330" s="234"/>
      <c r="G330" s="234"/>
      <c r="H330" s="235"/>
      <c r="I330" s="191"/>
      <c r="J330" s="191"/>
      <c r="K330" s="198"/>
      <c r="L330" s="198"/>
      <c r="M330" s="198"/>
      <c r="N330" s="198"/>
      <c r="O330" s="198"/>
      <c r="P330" s="198"/>
      <c r="Q330" s="198"/>
      <c r="S330" s="200"/>
      <c r="W330" s="207"/>
      <c r="AH330" s="204"/>
      <c r="AI330" s="204"/>
      <c r="AJ330" s="204"/>
      <c r="AK330" s="204"/>
      <c r="AL330" s="204"/>
      <c r="AM330" s="204"/>
      <c r="AN330" s="204"/>
      <c r="AX330" s="204"/>
      <c r="AY330" s="204"/>
      <c r="AZ330" s="204"/>
      <c r="BA330" s="204"/>
      <c r="BB330" s="204"/>
      <c r="BC330" s="204"/>
      <c r="BD330" s="204"/>
      <c r="BE330" s="204"/>
      <c r="BF330" s="204"/>
      <c r="BG330" s="204"/>
      <c r="BH330" s="204"/>
      <c r="BI330" s="204"/>
      <c r="BJ330" s="204"/>
      <c r="BK330" s="204"/>
      <c r="BL330" s="204"/>
      <c r="BM330" s="204"/>
      <c r="BN330" s="204"/>
      <c r="BO330" s="204"/>
      <c r="BP330" s="204"/>
      <c r="BQ330" s="204"/>
      <c r="BR330" s="204"/>
      <c r="BS330" s="204"/>
      <c r="BT330" s="204"/>
      <c r="BU330" s="204"/>
      <c r="BV330" s="204"/>
      <c r="BW330" s="204"/>
      <c r="BX330" s="204"/>
      <c r="BY330" s="204"/>
      <c r="BZ330" s="204"/>
      <c r="CA330" s="204"/>
      <c r="CB330" s="207"/>
      <c r="CM330" s="209"/>
    </row>
    <row r="331" ht="15.75" customHeight="1">
      <c r="A331" s="200"/>
      <c r="B331" s="200"/>
      <c r="C331" s="200"/>
      <c r="D331" s="200"/>
      <c r="F331" s="234"/>
      <c r="G331" s="234"/>
      <c r="H331" s="235"/>
      <c r="I331" s="191"/>
      <c r="J331" s="191"/>
      <c r="K331" s="198"/>
      <c r="L331" s="198"/>
      <c r="M331" s="198"/>
      <c r="N331" s="198"/>
      <c r="O331" s="198"/>
      <c r="P331" s="198"/>
      <c r="Q331" s="198"/>
      <c r="S331" s="200"/>
      <c r="W331" s="207"/>
      <c r="AH331" s="204"/>
      <c r="AI331" s="204"/>
      <c r="AJ331" s="204"/>
      <c r="AK331" s="204"/>
      <c r="AL331" s="204"/>
      <c r="AM331" s="204"/>
      <c r="AN331" s="204"/>
      <c r="AX331" s="204"/>
      <c r="AY331" s="204"/>
      <c r="AZ331" s="204"/>
      <c r="BA331" s="204"/>
      <c r="BB331" s="204"/>
      <c r="BC331" s="204"/>
      <c r="BD331" s="204"/>
      <c r="BE331" s="204"/>
      <c r="BF331" s="204"/>
      <c r="BG331" s="204"/>
      <c r="BH331" s="204"/>
      <c r="BI331" s="204"/>
      <c r="BJ331" s="204"/>
      <c r="BK331" s="204"/>
      <c r="BL331" s="204"/>
      <c r="BM331" s="204"/>
      <c r="BN331" s="204"/>
      <c r="BO331" s="204"/>
      <c r="BP331" s="204"/>
      <c r="BQ331" s="204"/>
      <c r="BR331" s="204"/>
      <c r="BS331" s="204"/>
      <c r="BT331" s="204"/>
      <c r="BU331" s="204"/>
      <c r="BV331" s="204"/>
      <c r="BW331" s="204"/>
      <c r="BX331" s="204"/>
      <c r="BY331" s="204"/>
      <c r="BZ331" s="204"/>
      <c r="CA331" s="204"/>
      <c r="CB331" s="207"/>
      <c r="CM331" s="209"/>
    </row>
    <row r="332" ht="15.75" customHeight="1">
      <c r="A332" s="200"/>
      <c r="B332" s="200"/>
      <c r="C332" s="200"/>
      <c r="D332" s="200"/>
      <c r="F332" s="234"/>
      <c r="G332" s="234"/>
      <c r="H332" s="235"/>
      <c r="I332" s="191"/>
      <c r="J332" s="191"/>
      <c r="K332" s="198"/>
      <c r="L332" s="198"/>
      <c r="M332" s="198"/>
      <c r="N332" s="198"/>
      <c r="O332" s="198"/>
      <c r="P332" s="198"/>
      <c r="Q332" s="198"/>
      <c r="S332" s="200"/>
      <c r="W332" s="207"/>
      <c r="AH332" s="204"/>
      <c r="AI332" s="204"/>
      <c r="AJ332" s="204"/>
      <c r="AK332" s="204"/>
      <c r="AL332" s="204"/>
      <c r="AM332" s="204"/>
      <c r="AN332" s="204"/>
      <c r="AX332" s="204"/>
      <c r="AY332" s="204"/>
      <c r="AZ332" s="204"/>
      <c r="BA332" s="204"/>
      <c r="BB332" s="204"/>
      <c r="BC332" s="204"/>
      <c r="BD332" s="204"/>
      <c r="BE332" s="204"/>
      <c r="BF332" s="204"/>
      <c r="BG332" s="204"/>
      <c r="BH332" s="204"/>
      <c r="BI332" s="204"/>
      <c r="BJ332" s="204"/>
      <c r="BK332" s="204"/>
      <c r="BL332" s="204"/>
      <c r="BM332" s="204"/>
      <c r="BN332" s="204"/>
      <c r="BO332" s="204"/>
      <c r="BP332" s="204"/>
      <c r="BQ332" s="204"/>
      <c r="BR332" s="204"/>
      <c r="BS332" s="204"/>
      <c r="BT332" s="204"/>
      <c r="BU332" s="204"/>
      <c r="BV332" s="204"/>
      <c r="BW332" s="204"/>
      <c r="BX332" s="204"/>
      <c r="BY332" s="204"/>
      <c r="BZ332" s="204"/>
      <c r="CA332" s="204"/>
      <c r="CB332" s="207"/>
      <c r="CM332" s="209"/>
    </row>
    <row r="333" ht="15.75" customHeight="1">
      <c r="A333" s="200"/>
      <c r="B333" s="200"/>
      <c r="C333" s="200"/>
      <c r="D333" s="200"/>
      <c r="F333" s="234"/>
      <c r="G333" s="234"/>
      <c r="H333" s="235"/>
      <c r="I333" s="191"/>
      <c r="J333" s="191"/>
      <c r="K333" s="198"/>
      <c r="L333" s="198"/>
      <c r="M333" s="198"/>
      <c r="N333" s="198"/>
      <c r="O333" s="198"/>
      <c r="P333" s="198"/>
      <c r="Q333" s="198"/>
      <c r="S333" s="200"/>
      <c r="W333" s="207"/>
      <c r="AH333" s="204"/>
      <c r="AI333" s="204"/>
      <c r="AJ333" s="204"/>
      <c r="AK333" s="204"/>
      <c r="AL333" s="204"/>
      <c r="AM333" s="204"/>
      <c r="AN333" s="204"/>
      <c r="AX333" s="204"/>
      <c r="AY333" s="204"/>
      <c r="AZ333" s="204"/>
      <c r="BA333" s="204"/>
      <c r="BB333" s="204"/>
      <c r="BC333" s="204"/>
      <c r="BD333" s="204"/>
      <c r="BE333" s="204"/>
      <c r="BF333" s="204"/>
      <c r="BG333" s="204"/>
      <c r="BH333" s="204"/>
      <c r="BI333" s="204"/>
      <c r="BJ333" s="204"/>
      <c r="BK333" s="204"/>
      <c r="BL333" s="204"/>
      <c r="BM333" s="204"/>
      <c r="BN333" s="204"/>
      <c r="BO333" s="204"/>
      <c r="BP333" s="204"/>
      <c r="BQ333" s="204"/>
      <c r="BR333" s="204"/>
      <c r="BS333" s="204"/>
      <c r="BT333" s="204"/>
      <c r="BU333" s="204"/>
      <c r="BV333" s="204"/>
      <c r="BW333" s="204"/>
      <c r="BX333" s="204"/>
      <c r="BY333" s="204"/>
      <c r="BZ333" s="204"/>
      <c r="CA333" s="204"/>
      <c r="CB333" s="207"/>
      <c r="CM333" s="209"/>
    </row>
    <row r="334" ht="15.75" customHeight="1">
      <c r="A334" s="200"/>
      <c r="B334" s="200"/>
      <c r="C334" s="200"/>
      <c r="D334" s="200"/>
      <c r="F334" s="234"/>
      <c r="G334" s="234"/>
      <c r="H334" s="235"/>
      <c r="I334" s="191"/>
      <c r="J334" s="191"/>
      <c r="K334" s="198"/>
      <c r="L334" s="198"/>
      <c r="M334" s="198"/>
      <c r="N334" s="198"/>
      <c r="O334" s="198"/>
      <c r="P334" s="198"/>
      <c r="Q334" s="198"/>
      <c r="S334" s="200"/>
      <c r="W334" s="207"/>
      <c r="AH334" s="204"/>
      <c r="AI334" s="204"/>
      <c r="AJ334" s="204"/>
      <c r="AK334" s="204"/>
      <c r="AL334" s="204"/>
      <c r="AM334" s="204"/>
      <c r="AN334" s="204"/>
      <c r="AX334" s="204"/>
      <c r="AY334" s="204"/>
      <c r="AZ334" s="204"/>
      <c r="BA334" s="204"/>
      <c r="BB334" s="204"/>
      <c r="BC334" s="204"/>
      <c r="BD334" s="204"/>
      <c r="BE334" s="204"/>
      <c r="BF334" s="204"/>
      <c r="BG334" s="204"/>
      <c r="BH334" s="204"/>
      <c r="BI334" s="204"/>
      <c r="BJ334" s="204"/>
      <c r="BK334" s="204"/>
      <c r="BL334" s="204"/>
      <c r="BM334" s="204"/>
      <c r="BN334" s="204"/>
      <c r="BO334" s="204"/>
      <c r="BP334" s="204"/>
      <c r="BQ334" s="204"/>
      <c r="BR334" s="204"/>
      <c r="BS334" s="204"/>
      <c r="BT334" s="204"/>
      <c r="BU334" s="204"/>
      <c r="BV334" s="204"/>
      <c r="BW334" s="204"/>
      <c r="BX334" s="204"/>
      <c r="BY334" s="204"/>
      <c r="BZ334" s="204"/>
      <c r="CA334" s="204"/>
      <c r="CB334" s="207"/>
      <c r="CM334" s="209"/>
    </row>
    <row r="335" ht="15.75" customHeight="1">
      <c r="A335" s="200"/>
      <c r="B335" s="200"/>
      <c r="C335" s="200"/>
      <c r="D335" s="200"/>
      <c r="F335" s="234"/>
      <c r="G335" s="234"/>
      <c r="H335" s="235"/>
      <c r="I335" s="191"/>
      <c r="J335" s="191"/>
      <c r="K335" s="198"/>
      <c r="L335" s="198"/>
      <c r="M335" s="198"/>
      <c r="N335" s="198"/>
      <c r="O335" s="198"/>
      <c r="P335" s="198"/>
      <c r="Q335" s="198"/>
      <c r="S335" s="200"/>
      <c r="W335" s="207"/>
      <c r="AH335" s="204"/>
      <c r="AI335" s="204"/>
      <c r="AJ335" s="204"/>
      <c r="AK335" s="204"/>
      <c r="AL335" s="204"/>
      <c r="AM335" s="204"/>
      <c r="AN335" s="204"/>
      <c r="AX335" s="204"/>
      <c r="AY335" s="204"/>
      <c r="AZ335" s="204"/>
      <c r="BA335" s="204"/>
      <c r="BB335" s="204"/>
      <c r="BC335" s="204"/>
      <c r="BD335" s="204"/>
      <c r="BE335" s="204"/>
      <c r="BF335" s="204"/>
      <c r="BG335" s="204"/>
      <c r="BH335" s="204"/>
      <c r="BI335" s="204"/>
      <c r="BJ335" s="204"/>
      <c r="BK335" s="204"/>
      <c r="BL335" s="204"/>
      <c r="BM335" s="204"/>
      <c r="BN335" s="204"/>
      <c r="BO335" s="204"/>
      <c r="BP335" s="204"/>
      <c r="BQ335" s="204"/>
      <c r="BR335" s="204"/>
      <c r="BS335" s="204"/>
      <c r="BT335" s="204"/>
      <c r="BU335" s="204"/>
      <c r="BV335" s="204"/>
      <c r="BW335" s="204"/>
      <c r="BX335" s="204"/>
      <c r="BY335" s="204"/>
      <c r="BZ335" s="204"/>
      <c r="CA335" s="204"/>
      <c r="CB335" s="207"/>
      <c r="CM335" s="209"/>
    </row>
    <row r="336" ht="15.75" customHeight="1">
      <c r="A336" s="200"/>
      <c r="B336" s="200"/>
      <c r="C336" s="200"/>
      <c r="D336" s="200"/>
      <c r="F336" s="234"/>
      <c r="G336" s="234"/>
      <c r="H336" s="235"/>
      <c r="I336" s="191"/>
      <c r="J336" s="191"/>
      <c r="K336" s="198"/>
      <c r="L336" s="198"/>
      <c r="M336" s="198"/>
      <c r="N336" s="198"/>
      <c r="O336" s="198"/>
      <c r="P336" s="198"/>
      <c r="Q336" s="198"/>
      <c r="S336" s="200"/>
      <c r="W336" s="207"/>
      <c r="AH336" s="204"/>
      <c r="AI336" s="204"/>
      <c r="AJ336" s="204"/>
      <c r="AK336" s="204"/>
      <c r="AL336" s="204"/>
      <c r="AM336" s="204"/>
      <c r="AN336" s="204"/>
      <c r="AX336" s="204"/>
      <c r="AY336" s="204"/>
      <c r="AZ336" s="204"/>
      <c r="BA336" s="204"/>
      <c r="BB336" s="204"/>
      <c r="BC336" s="204"/>
      <c r="BD336" s="204"/>
      <c r="BE336" s="204"/>
      <c r="BF336" s="204"/>
      <c r="BG336" s="204"/>
      <c r="BH336" s="204"/>
      <c r="BI336" s="204"/>
      <c r="BJ336" s="204"/>
      <c r="BK336" s="204"/>
      <c r="BL336" s="204"/>
      <c r="BM336" s="204"/>
      <c r="BN336" s="204"/>
      <c r="BO336" s="204"/>
      <c r="BP336" s="204"/>
      <c r="BQ336" s="204"/>
      <c r="BR336" s="204"/>
      <c r="BS336" s="204"/>
      <c r="BT336" s="204"/>
      <c r="BU336" s="204"/>
      <c r="BV336" s="204"/>
      <c r="BW336" s="204"/>
      <c r="BX336" s="204"/>
      <c r="BY336" s="204"/>
      <c r="BZ336" s="204"/>
      <c r="CA336" s="204"/>
      <c r="CB336" s="207"/>
      <c r="CM336" s="209"/>
    </row>
    <row r="337" ht="15.75" customHeight="1">
      <c r="A337" s="200"/>
      <c r="B337" s="200"/>
      <c r="C337" s="200"/>
      <c r="D337" s="200"/>
      <c r="F337" s="234"/>
      <c r="G337" s="234"/>
      <c r="H337" s="235"/>
      <c r="I337" s="191"/>
      <c r="J337" s="191"/>
      <c r="K337" s="198"/>
      <c r="L337" s="198"/>
      <c r="M337" s="198"/>
      <c r="N337" s="198"/>
      <c r="O337" s="198"/>
      <c r="P337" s="198"/>
      <c r="Q337" s="198"/>
      <c r="S337" s="200"/>
      <c r="W337" s="207"/>
      <c r="AH337" s="204"/>
      <c r="AI337" s="204"/>
      <c r="AJ337" s="204"/>
      <c r="AK337" s="204"/>
      <c r="AL337" s="204"/>
      <c r="AM337" s="204"/>
      <c r="AN337" s="204"/>
      <c r="AX337" s="204"/>
      <c r="AY337" s="204"/>
      <c r="AZ337" s="204"/>
      <c r="BA337" s="204"/>
      <c r="BB337" s="204"/>
      <c r="BC337" s="204"/>
      <c r="BD337" s="204"/>
      <c r="BE337" s="204"/>
      <c r="BF337" s="204"/>
      <c r="BG337" s="204"/>
      <c r="BH337" s="204"/>
      <c r="BI337" s="204"/>
      <c r="BJ337" s="204"/>
      <c r="BK337" s="204"/>
      <c r="BL337" s="204"/>
      <c r="BM337" s="204"/>
      <c r="BN337" s="204"/>
      <c r="BO337" s="204"/>
      <c r="BP337" s="204"/>
      <c r="BQ337" s="204"/>
      <c r="BR337" s="204"/>
      <c r="BS337" s="204"/>
      <c r="BT337" s="204"/>
      <c r="BU337" s="204"/>
      <c r="BV337" s="204"/>
      <c r="BW337" s="204"/>
      <c r="BX337" s="204"/>
      <c r="BY337" s="204"/>
      <c r="BZ337" s="204"/>
      <c r="CA337" s="204"/>
      <c r="CB337" s="207"/>
      <c r="CM337" s="209"/>
    </row>
    <row r="338" ht="15.75" customHeight="1">
      <c r="A338" s="200"/>
      <c r="B338" s="200"/>
      <c r="C338" s="200"/>
      <c r="D338" s="200"/>
      <c r="F338" s="234"/>
      <c r="G338" s="234"/>
      <c r="H338" s="235"/>
      <c r="I338" s="191"/>
      <c r="J338" s="191"/>
      <c r="K338" s="198"/>
      <c r="L338" s="198"/>
      <c r="M338" s="198"/>
      <c r="N338" s="198"/>
      <c r="O338" s="198"/>
      <c r="P338" s="198"/>
      <c r="Q338" s="198"/>
      <c r="S338" s="200"/>
      <c r="W338" s="207"/>
      <c r="AH338" s="204"/>
      <c r="AI338" s="204"/>
      <c r="AJ338" s="204"/>
      <c r="AK338" s="204"/>
      <c r="AL338" s="204"/>
      <c r="AM338" s="204"/>
      <c r="AN338" s="204"/>
      <c r="AX338" s="204"/>
      <c r="AY338" s="204"/>
      <c r="AZ338" s="204"/>
      <c r="BA338" s="204"/>
      <c r="BB338" s="204"/>
      <c r="BC338" s="204"/>
      <c r="BD338" s="204"/>
      <c r="BE338" s="204"/>
      <c r="BF338" s="204"/>
      <c r="BG338" s="204"/>
      <c r="BH338" s="204"/>
      <c r="BI338" s="204"/>
      <c r="BJ338" s="204"/>
      <c r="BK338" s="204"/>
      <c r="BL338" s="204"/>
      <c r="BM338" s="204"/>
      <c r="BN338" s="204"/>
      <c r="BO338" s="204"/>
      <c r="BP338" s="204"/>
      <c r="BQ338" s="204"/>
      <c r="BR338" s="204"/>
      <c r="BS338" s="204"/>
      <c r="BT338" s="204"/>
      <c r="BU338" s="204"/>
      <c r="BV338" s="204"/>
      <c r="BW338" s="204"/>
      <c r="BX338" s="204"/>
      <c r="BY338" s="204"/>
      <c r="BZ338" s="204"/>
      <c r="CA338" s="204"/>
      <c r="CB338" s="207"/>
      <c r="CM338" s="209"/>
    </row>
    <row r="339" ht="15.75" customHeight="1">
      <c r="A339" s="200"/>
      <c r="B339" s="200"/>
      <c r="C339" s="200"/>
      <c r="D339" s="200"/>
      <c r="F339" s="234"/>
      <c r="G339" s="234"/>
      <c r="H339" s="235"/>
      <c r="I339" s="191"/>
      <c r="J339" s="191"/>
      <c r="K339" s="198"/>
      <c r="L339" s="198"/>
      <c r="M339" s="198"/>
      <c r="N339" s="198"/>
      <c r="O339" s="198"/>
      <c r="P339" s="198"/>
      <c r="Q339" s="198"/>
      <c r="S339" s="200"/>
      <c r="W339" s="207"/>
      <c r="AH339" s="204"/>
      <c r="AI339" s="204"/>
      <c r="AJ339" s="204"/>
      <c r="AK339" s="204"/>
      <c r="AL339" s="204"/>
      <c r="AM339" s="204"/>
      <c r="AN339" s="204"/>
      <c r="AX339" s="204"/>
      <c r="AY339" s="204"/>
      <c r="AZ339" s="204"/>
      <c r="BA339" s="204"/>
      <c r="BB339" s="204"/>
      <c r="BC339" s="204"/>
      <c r="BD339" s="204"/>
      <c r="BE339" s="204"/>
      <c r="BF339" s="204"/>
      <c r="BG339" s="204"/>
      <c r="BH339" s="204"/>
      <c r="BI339" s="204"/>
      <c r="BJ339" s="204"/>
      <c r="BK339" s="204"/>
      <c r="BL339" s="204"/>
      <c r="BM339" s="204"/>
      <c r="BN339" s="204"/>
      <c r="BO339" s="204"/>
      <c r="BP339" s="204"/>
      <c r="BQ339" s="204"/>
      <c r="BR339" s="204"/>
      <c r="BS339" s="204"/>
      <c r="BT339" s="204"/>
      <c r="BU339" s="204"/>
      <c r="BV339" s="204"/>
      <c r="BW339" s="204"/>
      <c r="BX339" s="204"/>
      <c r="BY339" s="204"/>
      <c r="BZ339" s="204"/>
      <c r="CA339" s="204"/>
      <c r="CB339" s="207"/>
      <c r="CM339" s="209"/>
    </row>
    <row r="340" ht="15.75" customHeight="1">
      <c r="A340" s="200"/>
      <c r="B340" s="200"/>
      <c r="C340" s="200"/>
      <c r="D340" s="200"/>
      <c r="F340" s="234"/>
      <c r="G340" s="234"/>
      <c r="H340" s="235"/>
      <c r="I340" s="191"/>
      <c r="J340" s="191"/>
      <c r="K340" s="198"/>
      <c r="L340" s="198"/>
      <c r="M340" s="198"/>
      <c r="N340" s="198"/>
      <c r="O340" s="198"/>
      <c r="P340" s="198"/>
      <c r="Q340" s="198"/>
      <c r="S340" s="200"/>
      <c r="W340" s="207"/>
      <c r="AH340" s="204"/>
      <c r="AI340" s="204"/>
      <c r="AJ340" s="204"/>
      <c r="AK340" s="204"/>
      <c r="AL340" s="204"/>
      <c r="AM340" s="204"/>
      <c r="AN340" s="204"/>
      <c r="AX340" s="204"/>
      <c r="AY340" s="204"/>
      <c r="AZ340" s="204"/>
      <c r="BA340" s="204"/>
      <c r="BB340" s="204"/>
      <c r="BC340" s="204"/>
      <c r="BD340" s="204"/>
      <c r="BE340" s="204"/>
      <c r="BF340" s="204"/>
      <c r="BG340" s="204"/>
      <c r="BH340" s="204"/>
      <c r="BI340" s="204"/>
      <c r="BJ340" s="204"/>
      <c r="BK340" s="204"/>
      <c r="BL340" s="204"/>
      <c r="BM340" s="204"/>
      <c r="BN340" s="204"/>
      <c r="BO340" s="204"/>
      <c r="BP340" s="204"/>
      <c r="BQ340" s="204"/>
      <c r="BR340" s="204"/>
      <c r="BS340" s="204"/>
      <c r="BT340" s="204"/>
      <c r="BU340" s="204"/>
      <c r="BV340" s="204"/>
      <c r="BW340" s="204"/>
      <c r="BX340" s="204"/>
      <c r="BY340" s="204"/>
      <c r="BZ340" s="204"/>
      <c r="CA340" s="204"/>
      <c r="CB340" s="207"/>
      <c r="CM340" s="209"/>
    </row>
    <row r="341" ht="15.75" customHeight="1">
      <c r="A341" s="200"/>
      <c r="B341" s="200"/>
      <c r="C341" s="200"/>
      <c r="D341" s="200"/>
      <c r="F341" s="234"/>
      <c r="G341" s="234"/>
      <c r="H341" s="235"/>
      <c r="I341" s="191"/>
      <c r="J341" s="191"/>
      <c r="K341" s="198"/>
      <c r="L341" s="198"/>
      <c r="M341" s="198"/>
      <c r="N341" s="198"/>
      <c r="O341" s="198"/>
      <c r="P341" s="198"/>
      <c r="Q341" s="198"/>
      <c r="S341" s="200"/>
      <c r="W341" s="207"/>
      <c r="AH341" s="204"/>
      <c r="AI341" s="204"/>
      <c r="AJ341" s="204"/>
      <c r="AK341" s="204"/>
      <c r="AL341" s="204"/>
      <c r="AM341" s="204"/>
      <c r="AN341" s="204"/>
      <c r="AX341" s="204"/>
      <c r="AY341" s="204"/>
      <c r="AZ341" s="204"/>
      <c r="BA341" s="204"/>
      <c r="BB341" s="204"/>
      <c r="BC341" s="204"/>
      <c r="BD341" s="204"/>
      <c r="BE341" s="204"/>
      <c r="BF341" s="204"/>
      <c r="BG341" s="204"/>
      <c r="BH341" s="204"/>
      <c r="BI341" s="204"/>
      <c r="BJ341" s="204"/>
      <c r="BK341" s="204"/>
      <c r="BL341" s="204"/>
      <c r="BM341" s="204"/>
      <c r="BN341" s="204"/>
      <c r="BO341" s="204"/>
      <c r="BP341" s="204"/>
      <c r="BQ341" s="204"/>
      <c r="BR341" s="204"/>
      <c r="BS341" s="204"/>
      <c r="BT341" s="204"/>
      <c r="BU341" s="204"/>
      <c r="BV341" s="204"/>
      <c r="BW341" s="204"/>
      <c r="BX341" s="204"/>
      <c r="BY341" s="204"/>
      <c r="BZ341" s="204"/>
      <c r="CA341" s="204"/>
      <c r="CB341" s="207"/>
      <c r="CM341" s="209"/>
    </row>
    <row r="342" ht="15.75" customHeight="1">
      <c r="A342" s="200"/>
      <c r="B342" s="200"/>
      <c r="C342" s="200"/>
      <c r="D342" s="200"/>
      <c r="F342" s="234"/>
      <c r="G342" s="234"/>
      <c r="H342" s="235"/>
      <c r="I342" s="191"/>
      <c r="J342" s="191"/>
      <c r="K342" s="198"/>
      <c r="L342" s="198"/>
      <c r="M342" s="198"/>
      <c r="N342" s="198"/>
      <c r="O342" s="198"/>
      <c r="P342" s="198"/>
      <c r="Q342" s="198"/>
      <c r="S342" s="200"/>
      <c r="W342" s="207"/>
      <c r="AH342" s="204"/>
      <c r="AI342" s="204"/>
      <c r="AJ342" s="204"/>
      <c r="AK342" s="204"/>
      <c r="AL342" s="204"/>
      <c r="AM342" s="204"/>
      <c r="AN342" s="204"/>
      <c r="AX342" s="204"/>
      <c r="AY342" s="204"/>
      <c r="AZ342" s="204"/>
      <c r="BA342" s="204"/>
      <c r="BB342" s="204"/>
      <c r="BC342" s="204"/>
      <c r="BD342" s="204"/>
      <c r="BE342" s="204"/>
      <c r="BF342" s="204"/>
      <c r="BG342" s="204"/>
      <c r="BH342" s="204"/>
      <c r="BI342" s="204"/>
      <c r="BJ342" s="204"/>
      <c r="BK342" s="204"/>
      <c r="BL342" s="204"/>
      <c r="BM342" s="204"/>
      <c r="BN342" s="204"/>
      <c r="BO342" s="204"/>
      <c r="BP342" s="204"/>
      <c r="BQ342" s="204"/>
      <c r="BR342" s="204"/>
      <c r="BS342" s="204"/>
      <c r="BT342" s="204"/>
      <c r="BU342" s="204"/>
      <c r="BV342" s="204"/>
      <c r="BW342" s="204"/>
      <c r="BX342" s="204"/>
      <c r="BY342" s="204"/>
      <c r="BZ342" s="204"/>
      <c r="CA342" s="204"/>
      <c r="CB342" s="207"/>
      <c r="CM342" s="209"/>
    </row>
    <row r="343" ht="15.75" customHeight="1">
      <c r="A343" s="200"/>
      <c r="B343" s="200"/>
      <c r="C343" s="200"/>
      <c r="D343" s="200"/>
      <c r="F343" s="234"/>
      <c r="G343" s="234"/>
      <c r="H343" s="235"/>
      <c r="I343" s="191"/>
      <c r="J343" s="191"/>
      <c r="K343" s="198"/>
      <c r="L343" s="198"/>
      <c r="M343" s="198"/>
      <c r="N343" s="198"/>
      <c r="O343" s="198"/>
      <c r="P343" s="198"/>
      <c r="Q343" s="198"/>
      <c r="S343" s="200"/>
      <c r="W343" s="207"/>
      <c r="AH343" s="204"/>
      <c r="AI343" s="204"/>
      <c r="AJ343" s="204"/>
      <c r="AK343" s="204"/>
      <c r="AL343" s="204"/>
      <c r="AM343" s="204"/>
      <c r="AN343" s="204"/>
      <c r="AX343" s="204"/>
      <c r="AY343" s="204"/>
      <c r="AZ343" s="204"/>
      <c r="BA343" s="204"/>
      <c r="BB343" s="204"/>
      <c r="BC343" s="204"/>
      <c r="BD343" s="204"/>
      <c r="BE343" s="204"/>
      <c r="BF343" s="204"/>
      <c r="BG343" s="204"/>
      <c r="BH343" s="204"/>
      <c r="BI343" s="204"/>
      <c r="BJ343" s="204"/>
      <c r="BK343" s="204"/>
      <c r="BL343" s="204"/>
      <c r="BM343" s="204"/>
      <c r="BN343" s="204"/>
      <c r="BO343" s="204"/>
      <c r="BP343" s="204"/>
      <c r="BQ343" s="204"/>
      <c r="BR343" s="204"/>
      <c r="BS343" s="204"/>
      <c r="BT343" s="204"/>
      <c r="BU343" s="204"/>
      <c r="BV343" s="204"/>
      <c r="BW343" s="204"/>
      <c r="BX343" s="204"/>
      <c r="BY343" s="204"/>
      <c r="BZ343" s="204"/>
      <c r="CA343" s="204"/>
      <c r="CB343" s="207"/>
      <c r="CM343" s="209"/>
    </row>
    <row r="344" ht="15.75" customHeight="1">
      <c r="A344" s="200"/>
      <c r="B344" s="200"/>
      <c r="C344" s="200"/>
      <c r="D344" s="200"/>
      <c r="F344" s="234"/>
      <c r="G344" s="234"/>
      <c r="H344" s="235"/>
      <c r="I344" s="191"/>
      <c r="J344" s="191"/>
      <c r="K344" s="198"/>
      <c r="L344" s="198"/>
      <c r="M344" s="198"/>
      <c r="N344" s="198"/>
      <c r="O344" s="198"/>
      <c r="P344" s="198"/>
      <c r="Q344" s="198"/>
      <c r="S344" s="200"/>
      <c r="W344" s="207"/>
      <c r="AH344" s="204"/>
      <c r="AI344" s="204"/>
      <c r="AJ344" s="204"/>
      <c r="AK344" s="204"/>
      <c r="AL344" s="204"/>
      <c r="AM344" s="204"/>
      <c r="AN344" s="204"/>
      <c r="AX344" s="204"/>
      <c r="AY344" s="204"/>
      <c r="AZ344" s="204"/>
      <c r="BA344" s="204"/>
      <c r="BB344" s="204"/>
      <c r="BC344" s="204"/>
      <c r="BD344" s="204"/>
      <c r="BE344" s="204"/>
      <c r="BF344" s="204"/>
      <c r="BG344" s="204"/>
      <c r="BH344" s="204"/>
      <c r="BI344" s="204"/>
      <c r="BJ344" s="204"/>
      <c r="BK344" s="204"/>
      <c r="BL344" s="204"/>
      <c r="BM344" s="204"/>
      <c r="BN344" s="204"/>
      <c r="BO344" s="204"/>
      <c r="BP344" s="204"/>
      <c r="BQ344" s="204"/>
      <c r="BR344" s="204"/>
      <c r="BS344" s="204"/>
      <c r="BT344" s="204"/>
      <c r="BU344" s="204"/>
      <c r="BV344" s="204"/>
      <c r="BW344" s="204"/>
      <c r="BX344" s="204"/>
      <c r="BY344" s="204"/>
      <c r="BZ344" s="204"/>
      <c r="CA344" s="204"/>
      <c r="CB344" s="207"/>
      <c r="CM344" s="209"/>
    </row>
    <row r="345" ht="15.75" customHeight="1">
      <c r="A345" s="200"/>
      <c r="B345" s="200"/>
      <c r="C345" s="200"/>
      <c r="D345" s="200"/>
      <c r="F345" s="234"/>
      <c r="G345" s="234"/>
      <c r="H345" s="235"/>
      <c r="I345" s="191"/>
      <c r="J345" s="191"/>
      <c r="K345" s="198"/>
      <c r="L345" s="198"/>
      <c r="M345" s="198"/>
      <c r="N345" s="198"/>
      <c r="O345" s="198"/>
      <c r="P345" s="198"/>
      <c r="Q345" s="198"/>
      <c r="S345" s="200"/>
      <c r="W345" s="207"/>
      <c r="AH345" s="204"/>
      <c r="AI345" s="204"/>
      <c r="AJ345" s="204"/>
      <c r="AK345" s="204"/>
      <c r="AL345" s="204"/>
      <c r="AM345" s="204"/>
      <c r="AN345" s="204"/>
      <c r="AX345" s="204"/>
      <c r="AY345" s="204"/>
      <c r="AZ345" s="204"/>
      <c r="BA345" s="204"/>
      <c r="BB345" s="204"/>
      <c r="BC345" s="204"/>
      <c r="BD345" s="204"/>
      <c r="BE345" s="204"/>
      <c r="BF345" s="204"/>
      <c r="BG345" s="204"/>
      <c r="BH345" s="204"/>
      <c r="BI345" s="204"/>
      <c r="BJ345" s="204"/>
      <c r="BK345" s="204"/>
      <c r="BL345" s="204"/>
      <c r="BM345" s="204"/>
      <c r="BN345" s="204"/>
      <c r="BO345" s="204"/>
      <c r="BP345" s="204"/>
      <c r="BQ345" s="204"/>
      <c r="BR345" s="204"/>
      <c r="BS345" s="204"/>
      <c r="BT345" s="204"/>
      <c r="BU345" s="204"/>
      <c r="BV345" s="204"/>
      <c r="BW345" s="204"/>
      <c r="BX345" s="204"/>
      <c r="BY345" s="204"/>
      <c r="BZ345" s="204"/>
      <c r="CA345" s="204"/>
      <c r="CB345" s="207"/>
      <c r="CM345" s="209"/>
    </row>
    <row r="346" ht="15.75" customHeight="1">
      <c r="A346" s="200"/>
      <c r="B346" s="200"/>
      <c r="C346" s="200"/>
      <c r="D346" s="200"/>
      <c r="F346" s="234"/>
      <c r="G346" s="234"/>
      <c r="H346" s="235"/>
      <c r="I346" s="191"/>
      <c r="J346" s="191"/>
      <c r="K346" s="198"/>
      <c r="L346" s="198"/>
      <c r="M346" s="198"/>
      <c r="N346" s="198"/>
      <c r="O346" s="198"/>
      <c r="P346" s="198"/>
      <c r="Q346" s="198"/>
      <c r="S346" s="200"/>
      <c r="W346" s="207"/>
      <c r="AH346" s="204"/>
      <c r="AI346" s="204"/>
      <c r="AJ346" s="204"/>
      <c r="AK346" s="204"/>
      <c r="AL346" s="204"/>
      <c r="AM346" s="204"/>
      <c r="AN346" s="204"/>
      <c r="AX346" s="204"/>
      <c r="AY346" s="204"/>
      <c r="AZ346" s="204"/>
      <c r="BA346" s="204"/>
      <c r="BB346" s="204"/>
      <c r="BC346" s="204"/>
      <c r="BD346" s="204"/>
      <c r="BE346" s="204"/>
      <c r="BF346" s="204"/>
      <c r="BG346" s="204"/>
      <c r="BH346" s="204"/>
      <c r="BI346" s="204"/>
      <c r="BJ346" s="204"/>
      <c r="BK346" s="204"/>
      <c r="BL346" s="204"/>
      <c r="BM346" s="204"/>
      <c r="BN346" s="204"/>
      <c r="BO346" s="204"/>
      <c r="BP346" s="204"/>
      <c r="BQ346" s="204"/>
      <c r="BR346" s="204"/>
      <c r="BS346" s="204"/>
      <c r="BT346" s="204"/>
      <c r="BU346" s="204"/>
      <c r="BV346" s="204"/>
      <c r="BW346" s="204"/>
      <c r="BX346" s="204"/>
      <c r="BY346" s="204"/>
      <c r="BZ346" s="204"/>
      <c r="CA346" s="204"/>
      <c r="CB346" s="207"/>
      <c r="CM346" s="209"/>
    </row>
    <row r="347" ht="15.75" customHeight="1">
      <c r="A347" s="200"/>
      <c r="B347" s="200"/>
      <c r="C347" s="200"/>
      <c r="D347" s="200"/>
      <c r="F347" s="234"/>
      <c r="G347" s="234"/>
      <c r="H347" s="235"/>
      <c r="I347" s="191"/>
      <c r="J347" s="191"/>
      <c r="K347" s="198"/>
      <c r="L347" s="198"/>
      <c r="M347" s="198"/>
      <c r="N347" s="198"/>
      <c r="O347" s="198"/>
      <c r="P347" s="198"/>
      <c r="Q347" s="198"/>
      <c r="S347" s="200"/>
      <c r="W347" s="207"/>
      <c r="AH347" s="204"/>
      <c r="AI347" s="204"/>
      <c r="AJ347" s="204"/>
      <c r="AK347" s="204"/>
      <c r="AL347" s="204"/>
      <c r="AM347" s="204"/>
      <c r="AN347" s="204"/>
      <c r="AX347" s="204"/>
      <c r="AY347" s="204"/>
      <c r="AZ347" s="204"/>
      <c r="BA347" s="204"/>
      <c r="BB347" s="204"/>
      <c r="BC347" s="204"/>
      <c r="BD347" s="204"/>
      <c r="BE347" s="204"/>
      <c r="BF347" s="204"/>
      <c r="BG347" s="204"/>
      <c r="BH347" s="204"/>
      <c r="BI347" s="204"/>
      <c r="BJ347" s="204"/>
      <c r="BK347" s="204"/>
      <c r="BL347" s="204"/>
      <c r="BM347" s="204"/>
      <c r="BN347" s="204"/>
      <c r="BO347" s="204"/>
      <c r="BP347" s="204"/>
      <c r="BQ347" s="204"/>
      <c r="BR347" s="204"/>
      <c r="BS347" s="204"/>
      <c r="BT347" s="204"/>
      <c r="BU347" s="204"/>
      <c r="BV347" s="204"/>
      <c r="BW347" s="204"/>
      <c r="BX347" s="204"/>
      <c r="BY347" s="204"/>
      <c r="BZ347" s="204"/>
      <c r="CA347" s="204"/>
      <c r="CB347" s="207"/>
      <c r="CM347" s="209"/>
    </row>
    <row r="348" ht="15.75" customHeight="1">
      <c r="A348" s="200"/>
      <c r="B348" s="200"/>
      <c r="C348" s="200"/>
      <c r="D348" s="200"/>
      <c r="F348" s="234"/>
      <c r="G348" s="234"/>
      <c r="H348" s="235"/>
      <c r="I348" s="191"/>
      <c r="J348" s="191"/>
      <c r="K348" s="198"/>
      <c r="L348" s="198"/>
      <c r="M348" s="198"/>
      <c r="N348" s="198"/>
      <c r="O348" s="198"/>
      <c r="P348" s="198"/>
      <c r="Q348" s="198"/>
      <c r="S348" s="200"/>
      <c r="W348" s="207"/>
      <c r="AH348" s="204"/>
      <c r="AI348" s="204"/>
      <c r="AJ348" s="204"/>
      <c r="AK348" s="204"/>
      <c r="AL348" s="204"/>
      <c r="AM348" s="204"/>
      <c r="AN348" s="204"/>
      <c r="AX348" s="204"/>
      <c r="AY348" s="204"/>
      <c r="AZ348" s="204"/>
      <c r="BA348" s="204"/>
      <c r="BB348" s="204"/>
      <c r="BC348" s="204"/>
      <c r="BD348" s="204"/>
      <c r="BE348" s="204"/>
      <c r="BF348" s="204"/>
      <c r="BG348" s="204"/>
      <c r="BH348" s="204"/>
      <c r="BI348" s="204"/>
      <c r="BJ348" s="204"/>
      <c r="BK348" s="204"/>
      <c r="BL348" s="204"/>
      <c r="BM348" s="204"/>
      <c r="BN348" s="204"/>
      <c r="BO348" s="204"/>
      <c r="BP348" s="204"/>
      <c r="BQ348" s="204"/>
      <c r="BR348" s="204"/>
      <c r="BS348" s="204"/>
      <c r="BT348" s="204"/>
      <c r="BU348" s="204"/>
      <c r="BV348" s="204"/>
      <c r="BW348" s="204"/>
      <c r="BX348" s="204"/>
      <c r="BY348" s="204"/>
      <c r="BZ348" s="204"/>
      <c r="CA348" s="204"/>
      <c r="CB348" s="207"/>
      <c r="CM348" s="209"/>
    </row>
    <row r="349" ht="15.75" customHeight="1">
      <c r="A349" s="200"/>
      <c r="B349" s="200"/>
      <c r="C349" s="200"/>
      <c r="D349" s="200"/>
      <c r="F349" s="234"/>
      <c r="G349" s="234"/>
      <c r="H349" s="235"/>
      <c r="I349" s="191"/>
      <c r="J349" s="191"/>
      <c r="K349" s="198"/>
      <c r="L349" s="198"/>
      <c r="M349" s="198"/>
      <c r="N349" s="198"/>
      <c r="O349" s="198"/>
      <c r="P349" s="198"/>
      <c r="Q349" s="198"/>
      <c r="S349" s="200"/>
      <c r="W349" s="207"/>
      <c r="AH349" s="204"/>
      <c r="AI349" s="204"/>
      <c r="AJ349" s="204"/>
      <c r="AK349" s="204"/>
      <c r="AL349" s="204"/>
      <c r="AM349" s="204"/>
      <c r="AN349" s="204"/>
      <c r="AX349" s="204"/>
      <c r="AY349" s="204"/>
      <c r="AZ349" s="204"/>
      <c r="BA349" s="204"/>
      <c r="BB349" s="204"/>
      <c r="BC349" s="204"/>
      <c r="BD349" s="204"/>
      <c r="BE349" s="204"/>
      <c r="BF349" s="204"/>
      <c r="BG349" s="204"/>
      <c r="BH349" s="204"/>
      <c r="BI349" s="204"/>
      <c r="BJ349" s="204"/>
      <c r="BK349" s="204"/>
      <c r="BL349" s="204"/>
      <c r="BM349" s="204"/>
      <c r="BN349" s="204"/>
      <c r="BO349" s="204"/>
      <c r="BP349" s="204"/>
      <c r="BQ349" s="204"/>
      <c r="BR349" s="204"/>
      <c r="BS349" s="204"/>
      <c r="BT349" s="204"/>
      <c r="BU349" s="204"/>
      <c r="BV349" s="204"/>
      <c r="BW349" s="204"/>
      <c r="BX349" s="204"/>
      <c r="BY349" s="204"/>
      <c r="BZ349" s="204"/>
      <c r="CA349" s="204"/>
      <c r="CB349" s="207"/>
      <c r="CM349" s="209"/>
    </row>
    <row r="350" ht="15.75" customHeight="1">
      <c r="A350" s="200"/>
      <c r="B350" s="200"/>
      <c r="C350" s="200"/>
      <c r="D350" s="200"/>
      <c r="F350" s="234"/>
      <c r="G350" s="234"/>
      <c r="H350" s="235"/>
      <c r="I350" s="191"/>
      <c r="J350" s="191"/>
      <c r="K350" s="198"/>
      <c r="L350" s="198"/>
      <c r="M350" s="198"/>
      <c r="N350" s="198"/>
      <c r="O350" s="198"/>
      <c r="P350" s="198"/>
      <c r="Q350" s="198"/>
      <c r="S350" s="200"/>
      <c r="W350" s="207"/>
      <c r="AH350" s="204"/>
      <c r="AI350" s="204"/>
      <c r="AJ350" s="204"/>
      <c r="AK350" s="204"/>
      <c r="AL350" s="204"/>
      <c r="AM350" s="204"/>
      <c r="AN350" s="204"/>
      <c r="AX350" s="204"/>
      <c r="AY350" s="204"/>
      <c r="AZ350" s="204"/>
      <c r="BA350" s="204"/>
      <c r="BB350" s="204"/>
      <c r="BC350" s="204"/>
      <c r="BD350" s="204"/>
      <c r="BE350" s="204"/>
      <c r="BF350" s="204"/>
      <c r="BG350" s="204"/>
      <c r="BH350" s="204"/>
      <c r="BI350" s="204"/>
      <c r="BJ350" s="204"/>
      <c r="BK350" s="204"/>
      <c r="BL350" s="204"/>
      <c r="BM350" s="204"/>
      <c r="BN350" s="204"/>
      <c r="BO350" s="204"/>
      <c r="BP350" s="204"/>
      <c r="BQ350" s="204"/>
      <c r="BR350" s="204"/>
      <c r="BS350" s="204"/>
      <c r="BT350" s="204"/>
      <c r="BU350" s="204"/>
      <c r="BV350" s="204"/>
      <c r="BW350" s="204"/>
      <c r="BX350" s="204"/>
      <c r="BY350" s="204"/>
      <c r="BZ350" s="204"/>
      <c r="CA350" s="204"/>
      <c r="CB350" s="207"/>
      <c r="CM350" s="209"/>
    </row>
    <row r="351" ht="15.75" customHeight="1">
      <c r="A351" s="200"/>
      <c r="B351" s="200"/>
      <c r="C351" s="200"/>
      <c r="D351" s="200"/>
      <c r="F351" s="234"/>
      <c r="G351" s="234"/>
      <c r="H351" s="235"/>
      <c r="I351" s="191"/>
      <c r="J351" s="191"/>
      <c r="K351" s="198"/>
      <c r="L351" s="198"/>
      <c r="M351" s="198"/>
      <c r="N351" s="198"/>
      <c r="O351" s="198"/>
      <c r="P351" s="198"/>
      <c r="Q351" s="198"/>
      <c r="S351" s="200"/>
      <c r="W351" s="207"/>
      <c r="AH351" s="204"/>
      <c r="AI351" s="204"/>
      <c r="AJ351" s="204"/>
      <c r="AK351" s="204"/>
      <c r="AL351" s="204"/>
      <c r="AM351" s="204"/>
      <c r="AN351" s="204"/>
      <c r="AX351" s="204"/>
      <c r="AY351" s="204"/>
      <c r="AZ351" s="204"/>
      <c r="BA351" s="204"/>
      <c r="BB351" s="204"/>
      <c r="BC351" s="204"/>
      <c r="BD351" s="204"/>
      <c r="BE351" s="204"/>
      <c r="BF351" s="204"/>
      <c r="BG351" s="204"/>
      <c r="BH351" s="204"/>
      <c r="BI351" s="204"/>
      <c r="BJ351" s="204"/>
      <c r="BK351" s="204"/>
      <c r="BL351" s="204"/>
      <c r="BM351" s="204"/>
      <c r="BN351" s="204"/>
      <c r="BO351" s="204"/>
      <c r="BP351" s="204"/>
      <c r="BQ351" s="204"/>
      <c r="BR351" s="204"/>
      <c r="BS351" s="204"/>
      <c r="BT351" s="204"/>
      <c r="BU351" s="204"/>
      <c r="BV351" s="204"/>
      <c r="BW351" s="204"/>
      <c r="BX351" s="204"/>
      <c r="BY351" s="204"/>
      <c r="BZ351" s="204"/>
      <c r="CA351" s="204"/>
      <c r="CB351" s="207"/>
      <c r="CM351" s="209"/>
    </row>
    <row r="352" ht="15.75" customHeight="1">
      <c r="A352" s="200"/>
      <c r="B352" s="200"/>
      <c r="C352" s="200"/>
      <c r="D352" s="200"/>
      <c r="F352" s="234"/>
      <c r="G352" s="234"/>
      <c r="H352" s="235"/>
      <c r="I352" s="191"/>
      <c r="J352" s="191"/>
      <c r="K352" s="198"/>
      <c r="L352" s="198"/>
      <c r="M352" s="198"/>
      <c r="N352" s="198"/>
      <c r="O352" s="198"/>
      <c r="P352" s="198"/>
      <c r="Q352" s="198"/>
      <c r="S352" s="200"/>
      <c r="W352" s="207"/>
      <c r="AH352" s="204"/>
      <c r="AI352" s="204"/>
      <c r="AJ352" s="204"/>
      <c r="AK352" s="204"/>
      <c r="AL352" s="204"/>
      <c r="AM352" s="204"/>
      <c r="AN352" s="204"/>
      <c r="AX352" s="204"/>
      <c r="AY352" s="204"/>
      <c r="AZ352" s="204"/>
      <c r="BA352" s="204"/>
      <c r="BB352" s="204"/>
      <c r="BC352" s="204"/>
      <c r="BD352" s="204"/>
      <c r="BE352" s="204"/>
      <c r="BF352" s="204"/>
      <c r="BG352" s="204"/>
      <c r="BH352" s="204"/>
      <c r="BI352" s="204"/>
      <c r="BJ352" s="204"/>
      <c r="BK352" s="204"/>
      <c r="BL352" s="204"/>
      <c r="BM352" s="204"/>
      <c r="BN352" s="204"/>
      <c r="BO352" s="204"/>
      <c r="BP352" s="204"/>
      <c r="BQ352" s="204"/>
      <c r="BR352" s="204"/>
      <c r="BS352" s="204"/>
      <c r="BT352" s="204"/>
      <c r="BU352" s="204"/>
      <c r="BV352" s="204"/>
      <c r="BW352" s="204"/>
      <c r="BX352" s="204"/>
      <c r="BY352" s="204"/>
      <c r="BZ352" s="204"/>
      <c r="CA352" s="204"/>
      <c r="CB352" s="207"/>
      <c r="CM352" s="209"/>
    </row>
    <row r="353" ht="15.75" customHeight="1">
      <c r="A353" s="200"/>
      <c r="B353" s="200"/>
      <c r="C353" s="200"/>
      <c r="D353" s="200"/>
      <c r="F353" s="234"/>
      <c r="G353" s="234"/>
      <c r="H353" s="235"/>
      <c r="I353" s="191"/>
      <c r="J353" s="191"/>
      <c r="K353" s="198"/>
      <c r="L353" s="198"/>
      <c r="M353" s="198"/>
      <c r="N353" s="198"/>
      <c r="O353" s="198"/>
      <c r="P353" s="198"/>
      <c r="Q353" s="198"/>
      <c r="S353" s="200"/>
      <c r="W353" s="207"/>
      <c r="AH353" s="204"/>
      <c r="AI353" s="204"/>
      <c r="AJ353" s="204"/>
      <c r="AK353" s="204"/>
      <c r="AL353" s="204"/>
      <c r="AM353" s="204"/>
      <c r="AN353" s="204"/>
      <c r="AX353" s="204"/>
      <c r="AY353" s="204"/>
      <c r="AZ353" s="204"/>
      <c r="BA353" s="204"/>
      <c r="BB353" s="204"/>
      <c r="BC353" s="204"/>
      <c r="BD353" s="204"/>
      <c r="BE353" s="204"/>
      <c r="BF353" s="204"/>
      <c r="BG353" s="204"/>
      <c r="BH353" s="204"/>
      <c r="BI353" s="204"/>
      <c r="BJ353" s="204"/>
      <c r="BK353" s="204"/>
      <c r="BL353" s="204"/>
      <c r="BM353" s="204"/>
      <c r="BN353" s="204"/>
      <c r="BO353" s="204"/>
      <c r="BP353" s="204"/>
      <c r="BQ353" s="204"/>
      <c r="BR353" s="204"/>
      <c r="BS353" s="204"/>
      <c r="BT353" s="204"/>
      <c r="BU353" s="204"/>
      <c r="BV353" s="204"/>
      <c r="BW353" s="204"/>
      <c r="BX353" s="204"/>
      <c r="BY353" s="204"/>
      <c r="BZ353" s="204"/>
      <c r="CA353" s="204"/>
      <c r="CB353" s="207"/>
      <c r="CM353" s="209"/>
    </row>
    <row r="354" ht="15.75" customHeight="1">
      <c r="A354" s="200"/>
      <c r="B354" s="200"/>
      <c r="C354" s="200"/>
      <c r="D354" s="200"/>
      <c r="F354" s="234"/>
      <c r="G354" s="234"/>
      <c r="H354" s="235"/>
      <c r="I354" s="191"/>
      <c r="J354" s="191"/>
      <c r="K354" s="198"/>
      <c r="L354" s="198"/>
      <c r="M354" s="198"/>
      <c r="N354" s="198"/>
      <c r="O354" s="198"/>
      <c r="P354" s="198"/>
      <c r="Q354" s="198"/>
      <c r="S354" s="200"/>
      <c r="W354" s="207"/>
      <c r="AH354" s="204"/>
      <c r="AI354" s="204"/>
      <c r="AJ354" s="204"/>
      <c r="AK354" s="204"/>
      <c r="AL354" s="204"/>
      <c r="AM354" s="204"/>
      <c r="AN354" s="204"/>
      <c r="AX354" s="204"/>
      <c r="AY354" s="204"/>
      <c r="AZ354" s="204"/>
      <c r="BA354" s="204"/>
      <c r="BB354" s="204"/>
      <c r="BC354" s="204"/>
      <c r="BD354" s="204"/>
      <c r="BE354" s="204"/>
      <c r="BF354" s="204"/>
      <c r="BG354" s="204"/>
      <c r="BH354" s="204"/>
      <c r="BI354" s="204"/>
      <c r="BJ354" s="204"/>
      <c r="BK354" s="204"/>
      <c r="BL354" s="204"/>
      <c r="BM354" s="204"/>
      <c r="BN354" s="204"/>
      <c r="BO354" s="204"/>
      <c r="BP354" s="204"/>
      <c r="BQ354" s="204"/>
      <c r="BR354" s="204"/>
      <c r="BS354" s="204"/>
      <c r="BT354" s="204"/>
      <c r="BU354" s="204"/>
      <c r="BV354" s="204"/>
      <c r="BW354" s="204"/>
      <c r="BX354" s="204"/>
      <c r="BY354" s="204"/>
      <c r="BZ354" s="204"/>
      <c r="CA354" s="204"/>
      <c r="CB354" s="207"/>
      <c r="CM354" s="209"/>
    </row>
    <row r="355" ht="15.75" customHeight="1">
      <c r="A355" s="200"/>
      <c r="B355" s="200"/>
      <c r="C355" s="200"/>
      <c r="D355" s="200"/>
      <c r="F355" s="234"/>
      <c r="G355" s="234"/>
      <c r="H355" s="235"/>
      <c r="I355" s="191"/>
      <c r="J355" s="191"/>
      <c r="K355" s="198"/>
      <c r="L355" s="198"/>
      <c r="M355" s="198"/>
      <c r="N355" s="198"/>
      <c r="O355" s="198"/>
      <c r="P355" s="198"/>
      <c r="Q355" s="198"/>
      <c r="S355" s="200"/>
      <c r="W355" s="207"/>
      <c r="AH355" s="204"/>
      <c r="AI355" s="204"/>
      <c r="AJ355" s="204"/>
      <c r="AK355" s="204"/>
      <c r="AL355" s="204"/>
      <c r="AM355" s="204"/>
      <c r="AN355" s="204"/>
      <c r="AX355" s="204"/>
      <c r="AY355" s="204"/>
      <c r="AZ355" s="204"/>
      <c r="BA355" s="204"/>
      <c r="BB355" s="204"/>
      <c r="BC355" s="204"/>
      <c r="BD355" s="204"/>
      <c r="BE355" s="204"/>
      <c r="BF355" s="204"/>
      <c r="BG355" s="204"/>
      <c r="BH355" s="204"/>
      <c r="BI355" s="204"/>
      <c r="BJ355" s="204"/>
      <c r="BK355" s="204"/>
      <c r="BL355" s="204"/>
      <c r="BM355" s="204"/>
      <c r="BN355" s="204"/>
      <c r="BO355" s="204"/>
      <c r="BP355" s="204"/>
      <c r="BQ355" s="204"/>
      <c r="BR355" s="204"/>
      <c r="BS355" s="204"/>
      <c r="BT355" s="204"/>
      <c r="BU355" s="204"/>
      <c r="BV355" s="204"/>
      <c r="BW355" s="204"/>
      <c r="BX355" s="204"/>
      <c r="BY355" s="204"/>
      <c r="BZ355" s="204"/>
      <c r="CA355" s="204"/>
      <c r="CB355" s="207"/>
      <c r="CM355" s="209"/>
    </row>
    <row r="356" ht="15.75" customHeight="1">
      <c r="A356" s="200"/>
      <c r="B356" s="200"/>
      <c r="C356" s="200"/>
      <c r="D356" s="200"/>
      <c r="F356" s="234"/>
      <c r="G356" s="234"/>
      <c r="H356" s="235"/>
      <c r="I356" s="191"/>
      <c r="J356" s="191"/>
      <c r="K356" s="198"/>
      <c r="L356" s="198"/>
      <c r="M356" s="198"/>
      <c r="N356" s="198"/>
      <c r="O356" s="198"/>
      <c r="P356" s="198"/>
      <c r="Q356" s="198"/>
      <c r="S356" s="200"/>
      <c r="W356" s="207"/>
      <c r="AH356" s="204"/>
      <c r="AI356" s="204"/>
      <c r="AJ356" s="204"/>
      <c r="AK356" s="204"/>
      <c r="AL356" s="204"/>
      <c r="AM356" s="204"/>
      <c r="AN356" s="204"/>
      <c r="AX356" s="204"/>
      <c r="AY356" s="204"/>
      <c r="AZ356" s="204"/>
      <c r="BA356" s="204"/>
      <c r="BB356" s="204"/>
      <c r="BC356" s="204"/>
      <c r="BD356" s="204"/>
      <c r="BE356" s="204"/>
      <c r="BF356" s="204"/>
      <c r="BG356" s="204"/>
      <c r="BH356" s="204"/>
      <c r="BI356" s="204"/>
      <c r="BJ356" s="204"/>
      <c r="BK356" s="204"/>
      <c r="BL356" s="204"/>
      <c r="BM356" s="204"/>
      <c r="BN356" s="204"/>
      <c r="BO356" s="204"/>
      <c r="BP356" s="204"/>
      <c r="BQ356" s="204"/>
      <c r="BR356" s="204"/>
      <c r="BS356" s="204"/>
      <c r="BT356" s="204"/>
      <c r="BU356" s="204"/>
      <c r="BV356" s="204"/>
      <c r="BW356" s="204"/>
      <c r="BX356" s="204"/>
      <c r="BY356" s="204"/>
      <c r="BZ356" s="204"/>
      <c r="CA356" s="204"/>
      <c r="CB356" s="207"/>
      <c r="CM356" s="209"/>
    </row>
    <row r="357" ht="15.75" customHeight="1">
      <c r="A357" s="200"/>
      <c r="B357" s="200"/>
      <c r="C357" s="200"/>
      <c r="D357" s="200"/>
      <c r="F357" s="234"/>
      <c r="G357" s="234"/>
      <c r="H357" s="235"/>
      <c r="I357" s="191"/>
      <c r="J357" s="191"/>
      <c r="K357" s="198"/>
      <c r="L357" s="198"/>
      <c r="M357" s="198"/>
      <c r="N357" s="198"/>
      <c r="O357" s="198"/>
      <c r="P357" s="198"/>
      <c r="Q357" s="198"/>
      <c r="S357" s="200"/>
      <c r="W357" s="207"/>
      <c r="AH357" s="204"/>
      <c r="AI357" s="204"/>
      <c r="AJ357" s="204"/>
      <c r="AK357" s="204"/>
      <c r="AL357" s="204"/>
      <c r="AM357" s="204"/>
      <c r="AN357" s="204"/>
      <c r="AX357" s="204"/>
      <c r="AY357" s="204"/>
      <c r="AZ357" s="204"/>
      <c r="BA357" s="204"/>
      <c r="BB357" s="204"/>
      <c r="BC357" s="204"/>
      <c r="BD357" s="204"/>
      <c r="BE357" s="204"/>
      <c r="BF357" s="204"/>
      <c r="BG357" s="204"/>
      <c r="BH357" s="204"/>
      <c r="BI357" s="204"/>
      <c r="BJ357" s="204"/>
      <c r="BK357" s="204"/>
      <c r="BL357" s="204"/>
      <c r="BM357" s="204"/>
      <c r="BN357" s="204"/>
      <c r="BO357" s="204"/>
      <c r="BP357" s="204"/>
      <c r="BQ357" s="204"/>
      <c r="BR357" s="204"/>
      <c r="BS357" s="204"/>
      <c r="BT357" s="204"/>
      <c r="BU357" s="204"/>
      <c r="BV357" s="204"/>
      <c r="BW357" s="204"/>
      <c r="BX357" s="204"/>
      <c r="BY357" s="204"/>
      <c r="BZ357" s="204"/>
      <c r="CA357" s="204"/>
      <c r="CB357" s="207"/>
      <c r="CM357" s="209"/>
    </row>
    <row r="358" ht="15.75" customHeight="1">
      <c r="A358" s="200"/>
      <c r="B358" s="200"/>
      <c r="C358" s="200"/>
      <c r="D358" s="200"/>
      <c r="F358" s="234"/>
      <c r="G358" s="234"/>
      <c r="H358" s="235"/>
      <c r="I358" s="191"/>
      <c r="J358" s="191"/>
      <c r="K358" s="198"/>
      <c r="L358" s="198"/>
      <c r="M358" s="198"/>
      <c r="N358" s="198"/>
      <c r="O358" s="198"/>
      <c r="P358" s="198"/>
      <c r="Q358" s="198"/>
      <c r="S358" s="200"/>
      <c r="W358" s="207"/>
      <c r="AH358" s="204"/>
      <c r="AI358" s="204"/>
      <c r="AJ358" s="204"/>
      <c r="AK358" s="204"/>
      <c r="AL358" s="204"/>
      <c r="AM358" s="204"/>
      <c r="AN358" s="204"/>
      <c r="AX358" s="204"/>
      <c r="AY358" s="204"/>
      <c r="AZ358" s="204"/>
      <c r="BA358" s="204"/>
      <c r="BB358" s="204"/>
      <c r="BC358" s="204"/>
      <c r="BD358" s="204"/>
      <c r="BE358" s="204"/>
      <c r="BF358" s="204"/>
      <c r="BG358" s="204"/>
      <c r="BH358" s="204"/>
      <c r="BI358" s="204"/>
      <c r="BJ358" s="204"/>
      <c r="BK358" s="204"/>
      <c r="BL358" s="204"/>
      <c r="BM358" s="204"/>
      <c r="BN358" s="204"/>
      <c r="BO358" s="204"/>
      <c r="BP358" s="204"/>
      <c r="BQ358" s="204"/>
      <c r="BR358" s="204"/>
      <c r="BS358" s="204"/>
      <c r="BT358" s="204"/>
      <c r="BU358" s="204"/>
      <c r="BV358" s="204"/>
      <c r="BW358" s="204"/>
      <c r="BX358" s="204"/>
      <c r="BY358" s="204"/>
      <c r="BZ358" s="204"/>
      <c r="CA358" s="204"/>
      <c r="CB358" s="207"/>
      <c r="CM358" s="209"/>
    </row>
    <row r="359" ht="15.75" customHeight="1">
      <c r="A359" s="200"/>
      <c r="B359" s="200"/>
      <c r="C359" s="200"/>
      <c r="D359" s="200"/>
      <c r="F359" s="234"/>
      <c r="G359" s="234"/>
      <c r="H359" s="235"/>
      <c r="I359" s="191"/>
      <c r="J359" s="191"/>
      <c r="K359" s="198"/>
      <c r="L359" s="198"/>
      <c r="M359" s="198"/>
      <c r="N359" s="198"/>
      <c r="O359" s="198"/>
      <c r="P359" s="198"/>
      <c r="Q359" s="198"/>
      <c r="S359" s="200"/>
      <c r="W359" s="207"/>
      <c r="AH359" s="204"/>
      <c r="AI359" s="204"/>
      <c r="AJ359" s="204"/>
      <c r="AK359" s="204"/>
      <c r="AL359" s="204"/>
      <c r="AM359" s="204"/>
      <c r="AN359" s="204"/>
      <c r="AX359" s="204"/>
      <c r="AY359" s="204"/>
      <c r="AZ359" s="204"/>
      <c r="BA359" s="204"/>
      <c r="BB359" s="204"/>
      <c r="BC359" s="204"/>
      <c r="BD359" s="204"/>
      <c r="BE359" s="204"/>
      <c r="BF359" s="204"/>
      <c r="BG359" s="204"/>
      <c r="BH359" s="204"/>
      <c r="BI359" s="204"/>
      <c r="BJ359" s="204"/>
      <c r="BK359" s="204"/>
      <c r="BL359" s="204"/>
      <c r="BM359" s="204"/>
      <c r="BN359" s="204"/>
      <c r="BO359" s="204"/>
      <c r="BP359" s="204"/>
      <c r="BQ359" s="204"/>
      <c r="BR359" s="204"/>
      <c r="BS359" s="204"/>
      <c r="BT359" s="204"/>
      <c r="BU359" s="204"/>
      <c r="BV359" s="204"/>
      <c r="BW359" s="204"/>
      <c r="BX359" s="204"/>
      <c r="BY359" s="204"/>
      <c r="BZ359" s="204"/>
      <c r="CA359" s="204"/>
      <c r="CB359" s="207"/>
      <c r="CM359" s="209"/>
    </row>
    <row r="360" ht="15.75" customHeight="1">
      <c r="A360" s="200"/>
      <c r="B360" s="200"/>
      <c r="C360" s="200"/>
      <c r="D360" s="200"/>
      <c r="F360" s="234"/>
      <c r="G360" s="234"/>
      <c r="H360" s="235"/>
      <c r="I360" s="191"/>
      <c r="J360" s="191"/>
      <c r="K360" s="198"/>
      <c r="L360" s="198"/>
      <c r="M360" s="198"/>
      <c r="N360" s="198"/>
      <c r="O360" s="198"/>
      <c r="P360" s="198"/>
      <c r="Q360" s="198"/>
      <c r="S360" s="200"/>
      <c r="W360" s="207"/>
      <c r="AH360" s="204"/>
      <c r="AI360" s="204"/>
      <c r="AJ360" s="204"/>
      <c r="AK360" s="204"/>
      <c r="AL360" s="204"/>
      <c r="AM360" s="204"/>
      <c r="AN360" s="204"/>
      <c r="AX360" s="204"/>
      <c r="AY360" s="204"/>
      <c r="AZ360" s="204"/>
      <c r="BA360" s="204"/>
      <c r="BB360" s="204"/>
      <c r="BC360" s="204"/>
      <c r="BD360" s="204"/>
      <c r="BE360" s="204"/>
      <c r="BF360" s="204"/>
      <c r="BG360" s="204"/>
      <c r="BH360" s="204"/>
      <c r="BI360" s="204"/>
      <c r="BJ360" s="204"/>
      <c r="BK360" s="204"/>
      <c r="BL360" s="204"/>
      <c r="BM360" s="204"/>
      <c r="BN360" s="204"/>
      <c r="BO360" s="204"/>
      <c r="BP360" s="204"/>
      <c r="BQ360" s="204"/>
      <c r="BR360" s="204"/>
      <c r="BS360" s="204"/>
      <c r="BT360" s="204"/>
      <c r="BU360" s="204"/>
      <c r="BV360" s="204"/>
      <c r="BW360" s="204"/>
      <c r="BX360" s="204"/>
      <c r="BY360" s="204"/>
      <c r="BZ360" s="204"/>
      <c r="CA360" s="204"/>
      <c r="CB360" s="207"/>
      <c r="CM360" s="209"/>
    </row>
    <row r="361" ht="15.75" customHeight="1">
      <c r="A361" s="200"/>
      <c r="B361" s="200"/>
      <c r="C361" s="200"/>
      <c r="D361" s="200"/>
      <c r="F361" s="234"/>
      <c r="G361" s="234"/>
      <c r="H361" s="235"/>
      <c r="I361" s="191"/>
      <c r="J361" s="191"/>
      <c r="K361" s="198"/>
      <c r="L361" s="198"/>
      <c r="M361" s="198"/>
      <c r="N361" s="198"/>
      <c r="O361" s="198"/>
      <c r="P361" s="198"/>
      <c r="Q361" s="198"/>
      <c r="S361" s="200"/>
      <c r="W361" s="207"/>
      <c r="AH361" s="204"/>
      <c r="AI361" s="204"/>
      <c r="AJ361" s="204"/>
      <c r="AK361" s="204"/>
      <c r="AL361" s="204"/>
      <c r="AM361" s="204"/>
      <c r="AN361" s="204"/>
      <c r="AX361" s="204"/>
      <c r="AY361" s="204"/>
      <c r="AZ361" s="204"/>
      <c r="BA361" s="204"/>
      <c r="BB361" s="204"/>
      <c r="BC361" s="204"/>
      <c r="BD361" s="204"/>
      <c r="BE361" s="204"/>
      <c r="BF361" s="204"/>
      <c r="BG361" s="204"/>
      <c r="BH361" s="204"/>
      <c r="BI361" s="204"/>
      <c r="BJ361" s="204"/>
      <c r="BK361" s="204"/>
      <c r="BL361" s="204"/>
      <c r="BM361" s="204"/>
      <c r="BN361" s="204"/>
      <c r="BO361" s="204"/>
      <c r="BP361" s="204"/>
      <c r="BQ361" s="204"/>
      <c r="BR361" s="204"/>
      <c r="BS361" s="204"/>
      <c r="BT361" s="204"/>
      <c r="BU361" s="204"/>
      <c r="BV361" s="204"/>
      <c r="BW361" s="204"/>
      <c r="BX361" s="204"/>
      <c r="BY361" s="204"/>
      <c r="BZ361" s="204"/>
      <c r="CA361" s="204"/>
      <c r="CB361" s="207"/>
      <c r="CM361" s="209"/>
    </row>
    <row r="362" ht="15.75" customHeight="1">
      <c r="A362" s="200"/>
      <c r="B362" s="200"/>
      <c r="C362" s="200"/>
      <c r="D362" s="200"/>
      <c r="F362" s="234"/>
      <c r="G362" s="234"/>
      <c r="H362" s="235"/>
      <c r="I362" s="191"/>
      <c r="J362" s="191"/>
      <c r="K362" s="198"/>
      <c r="L362" s="198"/>
      <c r="M362" s="198"/>
      <c r="N362" s="198"/>
      <c r="O362" s="198"/>
      <c r="P362" s="198"/>
      <c r="Q362" s="198"/>
      <c r="S362" s="200"/>
      <c r="W362" s="207"/>
      <c r="AH362" s="204"/>
      <c r="AI362" s="204"/>
      <c r="AJ362" s="204"/>
      <c r="AK362" s="204"/>
      <c r="AL362" s="204"/>
      <c r="AM362" s="204"/>
      <c r="AN362" s="204"/>
      <c r="AX362" s="204"/>
      <c r="AY362" s="204"/>
      <c r="AZ362" s="204"/>
      <c r="BA362" s="204"/>
      <c r="BB362" s="204"/>
      <c r="BC362" s="204"/>
      <c r="BD362" s="204"/>
      <c r="BE362" s="204"/>
      <c r="BF362" s="204"/>
      <c r="BG362" s="204"/>
      <c r="BH362" s="204"/>
      <c r="BI362" s="204"/>
      <c r="BJ362" s="204"/>
      <c r="BK362" s="204"/>
      <c r="BL362" s="204"/>
      <c r="BM362" s="204"/>
      <c r="BN362" s="204"/>
      <c r="BO362" s="204"/>
      <c r="BP362" s="204"/>
      <c r="BQ362" s="204"/>
      <c r="BR362" s="204"/>
      <c r="BS362" s="204"/>
      <c r="BT362" s="204"/>
      <c r="BU362" s="204"/>
      <c r="BV362" s="204"/>
      <c r="BW362" s="204"/>
      <c r="BX362" s="204"/>
      <c r="BY362" s="204"/>
      <c r="BZ362" s="204"/>
      <c r="CA362" s="204"/>
      <c r="CB362" s="207"/>
      <c r="CM362" s="209"/>
    </row>
    <row r="363" ht="15.75" customHeight="1">
      <c r="A363" s="200"/>
      <c r="B363" s="200"/>
      <c r="C363" s="200"/>
      <c r="D363" s="200"/>
      <c r="F363" s="234"/>
      <c r="G363" s="234"/>
      <c r="H363" s="235"/>
      <c r="I363" s="191"/>
      <c r="J363" s="191"/>
      <c r="K363" s="198"/>
      <c r="L363" s="198"/>
      <c r="M363" s="198"/>
      <c r="N363" s="198"/>
      <c r="O363" s="198"/>
      <c r="P363" s="198"/>
      <c r="Q363" s="198"/>
      <c r="S363" s="200"/>
      <c r="W363" s="207"/>
      <c r="AH363" s="204"/>
      <c r="AI363" s="204"/>
      <c r="AJ363" s="204"/>
      <c r="AK363" s="204"/>
      <c r="AL363" s="204"/>
      <c r="AM363" s="204"/>
      <c r="AN363" s="204"/>
      <c r="AX363" s="204"/>
      <c r="AY363" s="204"/>
      <c r="AZ363" s="204"/>
      <c r="BA363" s="204"/>
      <c r="BB363" s="204"/>
      <c r="BC363" s="204"/>
      <c r="BD363" s="204"/>
      <c r="BE363" s="204"/>
      <c r="BF363" s="204"/>
      <c r="BG363" s="204"/>
      <c r="BH363" s="204"/>
      <c r="BI363" s="204"/>
      <c r="BJ363" s="204"/>
      <c r="BK363" s="204"/>
      <c r="BL363" s="204"/>
      <c r="BM363" s="204"/>
      <c r="BN363" s="204"/>
      <c r="BO363" s="204"/>
      <c r="BP363" s="204"/>
      <c r="BQ363" s="204"/>
      <c r="BR363" s="204"/>
      <c r="BS363" s="204"/>
      <c r="BT363" s="204"/>
      <c r="BU363" s="204"/>
      <c r="BV363" s="204"/>
      <c r="BW363" s="204"/>
      <c r="BX363" s="204"/>
      <c r="BY363" s="204"/>
      <c r="BZ363" s="204"/>
      <c r="CA363" s="204"/>
      <c r="CB363" s="207"/>
      <c r="CM363" s="209"/>
    </row>
    <row r="364" ht="15.75" customHeight="1">
      <c r="A364" s="200"/>
      <c r="B364" s="200"/>
      <c r="C364" s="200"/>
      <c r="D364" s="200"/>
      <c r="F364" s="234"/>
      <c r="G364" s="234"/>
      <c r="H364" s="235"/>
      <c r="I364" s="191"/>
      <c r="J364" s="191"/>
      <c r="K364" s="198"/>
      <c r="L364" s="198"/>
      <c r="M364" s="198"/>
      <c r="N364" s="198"/>
      <c r="O364" s="198"/>
      <c r="P364" s="198"/>
      <c r="Q364" s="198"/>
      <c r="S364" s="200"/>
      <c r="W364" s="207"/>
      <c r="AH364" s="204"/>
      <c r="AI364" s="204"/>
      <c r="AJ364" s="204"/>
      <c r="AK364" s="204"/>
      <c r="AL364" s="204"/>
      <c r="AM364" s="204"/>
      <c r="AN364" s="204"/>
      <c r="AX364" s="204"/>
      <c r="AY364" s="204"/>
      <c r="AZ364" s="204"/>
      <c r="BA364" s="204"/>
      <c r="BB364" s="204"/>
      <c r="BC364" s="204"/>
      <c r="BD364" s="204"/>
      <c r="BE364" s="204"/>
      <c r="BF364" s="204"/>
      <c r="BG364" s="204"/>
      <c r="BH364" s="204"/>
      <c r="BI364" s="204"/>
      <c r="BJ364" s="204"/>
      <c r="BK364" s="204"/>
      <c r="BL364" s="204"/>
      <c r="BM364" s="204"/>
      <c r="BN364" s="204"/>
      <c r="BO364" s="204"/>
      <c r="BP364" s="204"/>
      <c r="BQ364" s="204"/>
      <c r="BR364" s="204"/>
      <c r="BS364" s="204"/>
      <c r="BT364" s="204"/>
      <c r="BU364" s="204"/>
      <c r="BV364" s="204"/>
      <c r="BW364" s="204"/>
      <c r="BX364" s="204"/>
      <c r="BY364" s="204"/>
      <c r="BZ364" s="204"/>
      <c r="CA364" s="204"/>
      <c r="CB364" s="207"/>
      <c r="CM364" s="209"/>
    </row>
    <row r="365" ht="15.75" customHeight="1">
      <c r="A365" s="200"/>
      <c r="B365" s="200"/>
      <c r="C365" s="200"/>
      <c r="D365" s="200"/>
      <c r="F365" s="234"/>
      <c r="G365" s="234"/>
      <c r="H365" s="235"/>
      <c r="I365" s="191"/>
      <c r="J365" s="191"/>
      <c r="K365" s="198"/>
      <c r="L365" s="198"/>
      <c r="M365" s="198"/>
      <c r="N365" s="198"/>
      <c r="O365" s="198"/>
      <c r="P365" s="198"/>
      <c r="Q365" s="198"/>
      <c r="S365" s="200"/>
      <c r="W365" s="207"/>
      <c r="AH365" s="204"/>
      <c r="AI365" s="204"/>
      <c r="AJ365" s="204"/>
      <c r="AK365" s="204"/>
      <c r="AL365" s="204"/>
      <c r="AM365" s="204"/>
      <c r="AN365" s="204"/>
      <c r="AX365" s="204"/>
      <c r="AY365" s="204"/>
      <c r="AZ365" s="204"/>
      <c r="BA365" s="204"/>
      <c r="BB365" s="204"/>
      <c r="BC365" s="204"/>
      <c r="BD365" s="204"/>
      <c r="BE365" s="204"/>
      <c r="BF365" s="204"/>
      <c r="BG365" s="204"/>
      <c r="BH365" s="204"/>
      <c r="BI365" s="204"/>
      <c r="BJ365" s="204"/>
      <c r="BK365" s="204"/>
      <c r="BL365" s="204"/>
      <c r="BM365" s="204"/>
      <c r="BN365" s="204"/>
      <c r="BO365" s="204"/>
      <c r="BP365" s="204"/>
      <c r="BQ365" s="204"/>
      <c r="BR365" s="204"/>
      <c r="BS365" s="204"/>
      <c r="BT365" s="204"/>
      <c r="BU365" s="204"/>
      <c r="BV365" s="204"/>
      <c r="BW365" s="204"/>
      <c r="BX365" s="204"/>
      <c r="BY365" s="204"/>
      <c r="BZ365" s="204"/>
      <c r="CA365" s="204"/>
      <c r="CB365" s="207"/>
      <c r="CM365" s="209"/>
    </row>
    <row r="366" ht="15.75" customHeight="1">
      <c r="A366" s="200"/>
      <c r="B366" s="200"/>
      <c r="C366" s="200"/>
      <c r="D366" s="200"/>
      <c r="F366" s="234"/>
      <c r="G366" s="234"/>
      <c r="H366" s="235"/>
      <c r="I366" s="191"/>
      <c r="J366" s="191"/>
      <c r="K366" s="198"/>
      <c r="L366" s="198"/>
      <c r="M366" s="198"/>
      <c r="N366" s="198"/>
      <c r="O366" s="198"/>
      <c r="P366" s="198"/>
      <c r="Q366" s="198"/>
      <c r="S366" s="200"/>
      <c r="W366" s="207"/>
      <c r="AH366" s="204"/>
      <c r="AI366" s="204"/>
      <c r="AJ366" s="204"/>
      <c r="AK366" s="204"/>
      <c r="AL366" s="204"/>
      <c r="AM366" s="204"/>
      <c r="AN366" s="204"/>
      <c r="AX366" s="204"/>
      <c r="AY366" s="204"/>
      <c r="AZ366" s="204"/>
      <c r="BA366" s="204"/>
      <c r="BB366" s="204"/>
      <c r="BC366" s="204"/>
      <c r="BD366" s="204"/>
      <c r="BE366" s="204"/>
      <c r="BF366" s="204"/>
      <c r="BG366" s="204"/>
      <c r="BH366" s="204"/>
      <c r="BI366" s="204"/>
      <c r="BJ366" s="204"/>
      <c r="BK366" s="204"/>
      <c r="BL366" s="204"/>
      <c r="BM366" s="204"/>
      <c r="BN366" s="204"/>
      <c r="BO366" s="204"/>
      <c r="BP366" s="204"/>
      <c r="BQ366" s="204"/>
      <c r="BR366" s="204"/>
      <c r="BS366" s="204"/>
      <c r="BT366" s="204"/>
      <c r="BU366" s="204"/>
      <c r="BV366" s="204"/>
      <c r="BW366" s="204"/>
      <c r="BX366" s="204"/>
      <c r="BY366" s="204"/>
      <c r="BZ366" s="204"/>
      <c r="CA366" s="204"/>
      <c r="CB366" s="207"/>
      <c r="CM366" s="209"/>
    </row>
    <row r="367" ht="15.75" customHeight="1">
      <c r="A367" s="200"/>
      <c r="B367" s="200"/>
      <c r="C367" s="200"/>
      <c r="D367" s="200"/>
      <c r="F367" s="234"/>
      <c r="G367" s="234"/>
      <c r="H367" s="235"/>
      <c r="I367" s="191"/>
      <c r="J367" s="191"/>
      <c r="K367" s="198"/>
      <c r="L367" s="198"/>
      <c r="M367" s="198"/>
      <c r="N367" s="198"/>
      <c r="O367" s="198"/>
      <c r="P367" s="198"/>
      <c r="Q367" s="198"/>
      <c r="S367" s="200"/>
      <c r="W367" s="207"/>
      <c r="AH367" s="204"/>
      <c r="AI367" s="204"/>
      <c r="AJ367" s="204"/>
      <c r="AK367" s="204"/>
      <c r="AL367" s="204"/>
      <c r="AM367" s="204"/>
      <c r="AN367" s="204"/>
      <c r="AX367" s="204"/>
      <c r="AY367" s="204"/>
      <c r="AZ367" s="204"/>
      <c r="BA367" s="204"/>
      <c r="BB367" s="204"/>
      <c r="BC367" s="204"/>
      <c r="BD367" s="204"/>
      <c r="BE367" s="204"/>
      <c r="BF367" s="204"/>
      <c r="BG367" s="204"/>
      <c r="BH367" s="204"/>
      <c r="BI367" s="204"/>
      <c r="BJ367" s="204"/>
      <c r="BK367" s="204"/>
      <c r="BL367" s="204"/>
      <c r="BM367" s="204"/>
      <c r="BN367" s="204"/>
      <c r="BO367" s="204"/>
      <c r="BP367" s="204"/>
      <c r="BQ367" s="204"/>
      <c r="BR367" s="204"/>
      <c r="BS367" s="204"/>
      <c r="BT367" s="204"/>
      <c r="BU367" s="204"/>
      <c r="BV367" s="204"/>
      <c r="BW367" s="204"/>
      <c r="BX367" s="204"/>
      <c r="BY367" s="204"/>
      <c r="BZ367" s="204"/>
      <c r="CA367" s="204"/>
      <c r="CB367" s="207"/>
      <c r="CM367" s="209"/>
    </row>
    <row r="368" ht="15.75" customHeight="1">
      <c r="A368" s="200"/>
      <c r="B368" s="200"/>
      <c r="C368" s="200"/>
      <c r="D368" s="200"/>
      <c r="F368" s="234"/>
      <c r="G368" s="234"/>
      <c r="H368" s="235"/>
      <c r="I368" s="191"/>
      <c r="J368" s="191"/>
      <c r="K368" s="198"/>
      <c r="L368" s="198"/>
      <c r="M368" s="198"/>
      <c r="N368" s="198"/>
      <c r="O368" s="198"/>
      <c r="P368" s="198"/>
      <c r="Q368" s="198"/>
      <c r="S368" s="200"/>
      <c r="W368" s="207"/>
      <c r="AH368" s="204"/>
      <c r="AI368" s="204"/>
      <c r="AJ368" s="204"/>
      <c r="AK368" s="204"/>
      <c r="AL368" s="204"/>
      <c r="AM368" s="204"/>
      <c r="AN368" s="204"/>
      <c r="AX368" s="204"/>
      <c r="AY368" s="204"/>
      <c r="AZ368" s="204"/>
      <c r="BA368" s="204"/>
      <c r="BB368" s="204"/>
      <c r="BC368" s="204"/>
      <c r="BD368" s="204"/>
      <c r="BE368" s="204"/>
      <c r="BF368" s="204"/>
      <c r="BG368" s="204"/>
      <c r="BH368" s="204"/>
      <c r="BI368" s="204"/>
      <c r="BJ368" s="204"/>
      <c r="BK368" s="204"/>
      <c r="BL368" s="204"/>
      <c r="BM368" s="204"/>
      <c r="BN368" s="204"/>
      <c r="BO368" s="204"/>
      <c r="BP368" s="204"/>
      <c r="BQ368" s="204"/>
      <c r="BR368" s="204"/>
      <c r="BS368" s="204"/>
      <c r="BT368" s="204"/>
      <c r="BU368" s="204"/>
      <c r="BV368" s="204"/>
      <c r="BW368" s="204"/>
      <c r="BX368" s="204"/>
      <c r="BY368" s="204"/>
      <c r="BZ368" s="204"/>
      <c r="CA368" s="204"/>
      <c r="CB368" s="207"/>
      <c r="CM368" s="209"/>
    </row>
    <row r="369" ht="15.75" customHeight="1">
      <c r="A369" s="200"/>
      <c r="B369" s="200"/>
      <c r="C369" s="200"/>
      <c r="D369" s="200"/>
      <c r="F369" s="234"/>
      <c r="G369" s="234"/>
      <c r="H369" s="235"/>
      <c r="I369" s="191"/>
      <c r="J369" s="191"/>
      <c r="K369" s="198"/>
      <c r="L369" s="198"/>
      <c r="M369" s="198"/>
      <c r="N369" s="198"/>
      <c r="O369" s="198"/>
      <c r="P369" s="198"/>
      <c r="Q369" s="198"/>
      <c r="S369" s="200"/>
      <c r="W369" s="207"/>
      <c r="AH369" s="204"/>
      <c r="AI369" s="204"/>
      <c r="AJ369" s="204"/>
      <c r="AK369" s="204"/>
      <c r="AL369" s="204"/>
      <c r="AM369" s="204"/>
      <c r="AN369" s="204"/>
      <c r="AX369" s="204"/>
      <c r="AY369" s="204"/>
      <c r="AZ369" s="204"/>
      <c r="BA369" s="204"/>
      <c r="BB369" s="204"/>
      <c r="BC369" s="204"/>
      <c r="BD369" s="204"/>
      <c r="BE369" s="204"/>
      <c r="BF369" s="204"/>
      <c r="BG369" s="204"/>
      <c r="BH369" s="204"/>
      <c r="BI369" s="204"/>
      <c r="BJ369" s="204"/>
      <c r="BK369" s="204"/>
      <c r="BL369" s="204"/>
      <c r="BM369" s="204"/>
      <c r="BN369" s="204"/>
      <c r="BO369" s="204"/>
      <c r="BP369" s="204"/>
      <c r="BQ369" s="204"/>
      <c r="BR369" s="204"/>
      <c r="BS369" s="204"/>
      <c r="BT369" s="204"/>
      <c r="BU369" s="204"/>
      <c r="BV369" s="204"/>
      <c r="BW369" s="204"/>
      <c r="BX369" s="204"/>
      <c r="BY369" s="204"/>
      <c r="BZ369" s="204"/>
      <c r="CA369" s="204"/>
      <c r="CB369" s="207"/>
      <c r="CM369" s="209"/>
    </row>
    <row r="370" ht="15.75" customHeight="1">
      <c r="A370" s="200"/>
      <c r="B370" s="200"/>
      <c r="C370" s="200"/>
      <c r="D370" s="200"/>
      <c r="F370" s="234"/>
      <c r="G370" s="234"/>
      <c r="H370" s="235"/>
      <c r="I370" s="191"/>
      <c r="J370" s="191"/>
      <c r="K370" s="198"/>
      <c r="L370" s="198"/>
      <c r="M370" s="198"/>
      <c r="N370" s="198"/>
      <c r="O370" s="198"/>
      <c r="P370" s="198"/>
      <c r="Q370" s="198"/>
      <c r="S370" s="200"/>
      <c r="W370" s="207"/>
      <c r="AH370" s="204"/>
      <c r="AI370" s="204"/>
      <c r="AJ370" s="204"/>
      <c r="AK370" s="204"/>
      <c r="AL370" s="204"/>
      <c r="AM370" s="204"/>
      <c r="AN370" s="204"/>
      <c r="AX370" s="204"/>
      <c r="AY370" s="204"/>
      <c r="AZ370" s="204"/>
      <c r="BA370" s="204"/>
      <c r="BB370" s="204"/>
      <c r="BC370" s="204"/>
      <c r="BD370" s="204"/>
      <c r="BE370" s="204"/>
      <c r="BF370" s="204"/>
      <c r="BG370" s="204"/>
      <c r="BH370" s="204"/>
      <c r="BI370" s="204"/>
      <c r="BJ370" s="204"/>
      <c r="BK370" s="204"/>
      <c r="BL370" s="204"/>
      <c r="BM370" s="204"/>
      <c r="BN370" s="204"/>
      <c r="BO370" s="204"/>
      <c r="BP370" s="204"/>
      <c r="BQ370" s="204"/>
      <c r="BR370" s="204"/>
      <c r="BS370" s="204"/>
      <c r="BT370" s="204"/>
      <c r="BU370" s="204"/>
      <c r="BV370" s="204"/>
      <c r="BW370" s="204"/>
      <c r="BX370" s="204"/>
      <c r="BY370" s="204"/>
      <c r="BZ370" s="204"/>
      <c r="CA370" s="204"/>
      <c r="CB370" s="207"/>
      <c r="CM370" s="209"/>
    </row>
    <row r="371" ht="15.75" customHeight="1">
      <c r="A371" s="200"/>
      <c r="B371" s="200"/>
      <c r="C371" s="200"/>
      <c r="D371" s="200"/>
      <c r="F371" s="234"/>
      <c r="G371" s="234"/>
      <c r="H371" s="235"/>
      <c r="I371" s="191"/>
      <c r="J371" s="191"/>
      <c r="K371" s="198"/>
      <c r="L371" s="198"/>
      <c r="M371" s="198"/>
      <c r="N371" s="198"/>
      <c r="O371" s="198"/>
      <c r="P371" s="198"/>
      <c r="Q371" s="198"/>
      <c r="S371" s="200"/>
      <c r="W371" s="207"/>
      <c r="AH371" s="204"/>
      <c r="AI371" s="204"/>
      <c r="AJ371" s="204"/>
      <c r="AK371" s="204"/>
      <c r="AL371" s="204"/>
      <c r="AM371" s="204"/>
      <c r="AN371" s="204"/>
      <c r="AX371" s="204"/>
      <c r="AY371" s="204"/>
      <c r="AZ371" s="204"/>
      <c r="BA371" s="204"/>
      <c r="BB371" s="204"/>
      <c r="BC371" s="204"/>
      <c r="BD371" s="204"/>
      <c r="BE371" s="204"/>
      <c r="BF371" s="204"/>
      <c r="BG371" s="204"/>
      <c r="BH371" s="204"/>
      <c r="BI371" s="204"/>
      <c r="BJ371" s="204"/>
      <c r="BK371" s="204"/>
      <c r="BL371" s="204"/>
      <c r="BM371" s="204"/>
      <c r="BN371" s="204"/>
      <c r="BO371" s="204"/>
      <c r="BP371" s="204"/>
      <c r="BQ371" s="204"/>
      <c r="BR371" s="204"/>
      <c r="BS371" s="204"/>
      <c r="BT371" s="204"/>
      <c r="BU371" s="204"/>
      <c r="BV371" s="204"/>
      <c r="BW371" s="204"/>
      <c r="BX371" s="204"/>
      <c r="BY371" s="204"/>
      <c r="BZ371" s="204"/>
      <c r="CA371" s="204"/>
      <c r="CB371" s="207"/>
      <c r="CM371" s="209"/>
    </row>
    <row r="372" ht="15.75" customHeight="1">
      <c r="A372" s="200"/>
      <c r="B372" s="200"/>
      <c r="C372" s="200"/>
      <c r="D372" s="200"/>
      <c r="F372" s="234"/>
      <c r="G372" s="234"/>
      <c r="H372" s="235"/>
      <c r="I372" s="191"/>
      <c r="J372" s="191"/>
      <c r="K372" s="198"/>
      <c r="L372" s="198"/>
      <c r="M372" s="198"/>
      <c r="N372" s="198"/>
      <c r="O372" s="198"/>
      <c r="P372" s="198"/>
      <c r="Q372" s="198"/>
      <c r="S372" s="200"/>
      <c r="W372" s="207"/>
      <c r="AH372" s="204"/>
      <c r="AI372" s="204"/>
      <c r="AJ372" s="204"/>
      <c r="AK372" s="204"/>
      <c r="AL372" s="204"/>
      <c r="AM372" s="204"/>
      <c r="AN372" s="204"/>
      <c r="AX372" s="204"/>
      <c r="AY372" s="204"/>
      <c r="AZ372" s="204"/>
      <c r="BA372" s="204"/>
      <c r="BB372" s="204"/>
      <c r="BC372" s="204"/>
      <c r="BD372" s="204"/>
      <c r="BE372" s="204"/>
      <c r="BF372" s="204"/>
      <c r="BG372" s="204"/>
      <c r="BH372" s="204"/>
      <c r="BI372" s="204"/>
      <c r="BJ372" s="204"/>
      <c r="BK372" s="204"/>
      <c r="BL372" s="204"/>
      <c r="BM372" s="204"/>
      <c r="BN372" s="204"/>
      <c r="BO372" s="204"/>
      <c r="BP372" s="204"/>
      <c r="BQ372" s="204"/>
      <c r="BR372" s="204"/>
      <c r="BS372" s="204"/>
      <c r="BT372" s="204"/>
      <c r="BU372" s="204"/>
      <c r="BV372" s="204"/>
      <c r="BW372" s="204"/>
      <c r="BX372" s="204"/>
      <c r="BY372" s="204"/>
      <c r="BZ372" s="204"/>
      <c r="CA372" s="204"/>
      <c r="CB372" s="207"/>
      <c r="CM372" s="209"/>
    </row>
    <row r="373" ht="15.75" customHeight="1">
      <c r="A373" s="200"/>
      <c r="B373" s="200"/>
      <c r="C373" s="200"/>
      <c r="D373" s="200"/>
      <c r="F373" s="234"/>
      <c r="G373" s="234"/>
      <c r="H373" s="235"/>
      <c r="I373" s="191"/>
      <c r="J373" s="191"/>
      <c r="K373" s="198"/>
      <c r="L373" s="198"/>
      <c r="M373" s="198"/>
      <c r="N373" s="198"/>
      <c r="O373" s="198"/>
      <c r="P373" s="198"/>
      <c r="Q373" s="198"/>
      <c r="S373" s="200"/>
      <c r="W373" s="207"/>
      <c r="AH373" s="204"/>
      <c r="AI373" s="204"/>
      <c r="AJ373" s="204"/>
      <c r="AK373" s="204"/>
      <c r="AL373" s="204"/>
      <c r="AM373" s="204"/>
      <c r="AN373" s="204"/>
      <c r="AX373" s="204"/>
      <c r="AY373" s="204"/>
      <c r="AZ373" s="204"/>
      <c r="BA373" s="204"/>
      <c r="BB373" s="204"/>
      <c r="BC373" s="204"/>
      <c r="BD373" s="204"/>
      <c r="BE373" s="204"/>
      <c r="BF373" s="204"/>
      <c r="BG373" s="204"/>
      <c r="BH373" s="204"/>
      <c r="BI373" s="204"/>
      <c r="BJ373" s="204"/>
      <c r="BK373" s="204"/>
      <c r="BL373" s="204"/>
      <c r="BM373" s="204"/>
      <c r="BN373" s="204"/>
      <c r="BO373" s="204"/>
      <c r="BP373" s="204"/>
      <c r="BQ373" s="204"/>
      <c r="BR373" s="204"/>
      <c r="BS373" s="204"/>
      <c r="BT373" s="204"/>
      <c r="BU373" s="204"/>
      <c r="BV373" s="204"/>
      <c r="BW373" s="204"/>
      <c r="BX373" s="204"/>
      <c r="BY373" s="204"/>
      <c r="BZ373" s="204"/>
      <c r="CA373" s="204"/>
      <c r="CB373" s="207"/>
      <c r="CM373" s="209"/>
    </row>
    <row r="374" ht="15.75" customHeight="1">
      <c r="A374" s="200"/>
      <c r="B374" s="200"/>
      <c r="C374" s="200"/>
      <c r="D374" s="200"/>
      <c r="F374" s="234"/>
      <c r="G374" s="234"/>
      <c r="H374" s="235"/>
      <c r="I374" s="191"/>
      <c r="J374" s="191"/>
      <c r="K374" s="198"/>
      <c r="L374" s="198"/>
      <c r="M374" s="198"/>
      <c r="N374" s="198"/>
      <c r="O374" s="198"/>
      <c r="P374" s="198"/>
      <c r="Q374" s="198"/>
      <c r="S374" s="200"/>
      <c r="W374" s="207"/>
      <c r="AH374" s="204"/>
      <c r="AI374" s="204"/>
      <c r="AJ374" s="204"/>
      <c r="AK374" s="204"/>
      <c r="AL374" s="204"/>
      <c r="AM374" s="204"/>
      <c r="AN374" s="204"/>
      <c r="AX374" s="204"/>
      <c r="AY374" s="204"/>
      <c r="AZ374" s="204"/>
      <c r="BA374" s="204"/>
      <c r="BB374" s="204"/>
      <c r="BC374" s="204"/>
      <c r="BD374" s="204"/>
      <c r="BE374" s="204"/>
      <c r="BF374" s="204"/>
      <c r="BG374" s="204"/>
      <c r="BH374" s="204"/>
      <c r="BI374" s="204"/>
      <c r="BJ374" s="204"/>
      <c r="BK374" s="204"/>
      <c r="BL374" s="204"/>
      <c r="BM374" s="204"/>
      <c r="BN374" s="204"/>
      <c r="BO374" s="204"/>
      <c r="BP374" s="204"/>
      <c r="BQ374" s="204"/>
      <c r="BR374" s="204"/>
      <c r="BS374" s="204"/>
      <c r="BT374" s="204"/>
      <c r="BU374" s="204"/>
      <c r="BV374" s="204"/>
      <c r="BW374" s="204"/>
      <c r="BX374" s="204"/>
      <c r="BY374" s="204"/>
      <c r="BZ374" s="204"/>
      <c r="CA374" s="204"/>
      <c r="CB374" s="207"/>
      <c r="CM374" s="209"/>
    </row>
  </sheetData>
  <autoFilter ref="$A$1:$CO$374"/>
  <conditionalFormatting sqref="T1:V374 W2:W374 AC137:AD141">
    <cfRule type="containsText" dxfId="2" priority="1" operator="containsText" text="No">
      <formula>NOT(ISERROR(SEARCH(("No"),(T1))))</formula>
    </cfRule>
  </conditionalFormatting>
  <conditionalFormatting sqref="L1:N174 K2:K174">
    <cfRule type="containsBlanks" dxfId="3" priority="2">
      <formula>LEN(TRIM(L1))=0</formula>
    </cfRule>
  </conditionalFormatting>
  <hyperlinks>
    <hyperlink display="Return to Home" location="TOC!A1" ref="W1"/>
    <hyperlink r:id="rId2" ref="AC1"/>
    <hyperlink r:id="rId3" ref="AD1"/>
    <hyperlink r:id="rId4" location="gid=156260417" ref="AE1"/>
    <hyperlink r:id="rId5" location="gid=0" ref="CD1"/>
    <hyperlink r:id="rId6" ref="AR93"/>
    <hyperlink r:id="rId7" ref="AR94"/>
    <hyperlink r:id="rId8" ref="H168"/>
    <hyperlink r:id="rId9" ref="H169"/>
    <hyperlink r:id="rId10" ref="H170"/>
    <hyperlink r:id="rId11" ref="H171"/>
    <hyperlink r:id="rId12" ref="H172"/>
    <hyperlink r:id="rId13" ref="H173"/>
    <hyperlink r:id="rId14" ref="H174"/>
  </hyperlinks>
  <drawing r:id="rId15"/>
  <legacyDrawing r:id="rId1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0"/>
    <col customWidth="1" min="2" max="5" width="33.0"/>
    <col customWidth="1" min="6" max="6" width="36.67"/>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961</v>
      </c>
      <c r="B3" s="3"/>
      <c r="C3" s="17" t="s">
        <v>1074</v>
      </c>
      <c r="D3" s="86"/>
      <c r="E3" s="86"/>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1075</v>
      </c>
      <c r="C6" s="88" t="s">
        <v>25</v>
      </c>
      <c r="D6" s="88" t="s">
        <v>26</v>
      </c>
      <c r="E6" s="88" t="s">
        <v>27</v>
      </c>
      <c r="F6" s="88" t="s">
        <v>28</v>
      </c>
      <c r="G6" s="1"/>
      <c r="H6" s="1"/>
      <c r="I6" s="1"/>
      <c r="J6" s="1"/>
      <c r="K6" s="1"/>
      <c r="L6" s="1"/>
      <c r="M6" s="1"/>
      <c r="N6" s="1"/>
      <c r="O6" s="1"/>
      <c r="P6" s="1"/>
      <c r="Q6" s="1"/>
      <c r="R6" s="1"/>
      <c r="S6" s="1"/>
      <c r="T6" s="1"/>
      <c r="U6" s="1"/>
      <c r="V6" s="1"/>
      <c r="W6" s="1"/>
      <c r="X6" s="1"/>
      <c r="Y6" s="1"/>
      <c r="Z6" s="1"/>
    </row>
    <row r="7">
      <c r="A7" s="89" t="s">
        <v>107</v>
      </c>
      <c r="B7" s="91"/>
      <c r="C7" s="16"/>
      <c r="D7" s="16"/>
      <c r="E7" s="16"/>
      <c r="F7" s="16"/>
      <c r="G7" s="1"/>
      <c r="H7" s="1"/>
      <c r="I7" s="1"/>
      <c r="J7" s="1"/>
      <c r="K7" s="1"/>
      <c r="L7" s="1"/>
      <c r="M7" s="1"/>
      <c r="N7" s="1"/>
      <c r="O7" s="1"/>
      <c r="P7" s="1"/>
      <c r="Q7" s="1"/>
      <c r="R7" s="1"/>
      <c r="S7" s="1"/>
      <c r="T7" s="1"/>
      <c r="U7" s="1"/>
      <c r="V7" s="1"/>
      <c r="W7" s="1"/>
      <c r="X7" s="1"/>
      <c r="Y7" s="1"/>
      <c r="Z7" s="1"/>
    </row>
    <row r="8" ht="15.75" customHeight="1">
      <c r="A8" s="122" t="s">
        <v>17</v>
      </c>
      <c r="B8" s="86"/>
      <c r="C8" s="86"/>
      <c r="D8" s="86"/>
      <c r="E8" s="86"/>
      <c r="F8" s="86"/>
      <c r="G8" s="1"/>
      <c r="H8" s="1"/>
      <c r="I8" s="1"/>
      <c r="J8" s="1"/>
      <c r="K8" s="1"/>
      <c r="L8" s="1"/>
      <c r="M8" s="1"/>
      <c r="N8" s="1"/>
      <c r="O8" s="1"/>
      <c r="P8" s="1"/>
      <c r="Q8" s="1"/>
      <c r="R8" s="1"/>
      <c r="S8" s="1"/>
      <c r="T8" s="1"/>
      <c r="U8" s="1"/>
      <c r="V8" s="1"/>
      <c r="W8" s="1"/>
      <c r="X8" s="1"/>
      <c r="Y8" s="1"/>
      <c r="Z8" s="1"/>
    </row>
    <row r="9">
      <c r="A9" s="13" t="s">
        <v>962</v>
      </c>
      <c r="B9" s="244" t="s">
        <v>1076</v>
      </c>
      <c r="C9" s="91" t="s">
        <v>1077</v>
      </c>
      <c r="D9" s="94"/>
      <c r="E9" s="94"/>
      <c r="F9" s="94"/>
      <c r="G9" s="1"/>
      <c r="H9" s="1"/>
      <c r="I9" s="1"/>
      <c r="J9" s="1"/>
      <c r="K9" s="1"/>
      <c r="L9" s="1"/>
      <c r="M9" s="1"/>
      <c r="N9" s="1"/>
      <c r="O9" s="1"/>
      <c r="P9" s="1"/>
      <c r="Q9" s="1"/>
      <c r="R9" s="1"/>
      <c r="S9" s="1"/>
      <c r="T9" s="1"/>
      <c r="U9" s="1"/>
      <c r="V9" s="1"/>
      <c r="W9" s="1"/>
      <c r="X9" s="1"/>
      <c r="Y9" s="1"/>
      <c r="Z9" s="1"/>
    </row>
    <row r="10" ht="15.75" customHeight="1">
      <c r="A10" s="13"/>
      <c r="B10" s="12" t="s">
        <v>1078</v>
      </c>
      <c r="C10" s="97" t="s">
        <v>1079</v>
      </c>
      <c r="D10" s="94"/>
      <c r="E10" s="94"/>
      <c r="F10" s="94"/>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3" t="s">
        <v>96</v>
      </c>
      <c r="B13" s="94"/>
      <c r="C13" s="91" t="s">
        <v>1080</v>
      </c>
      <c r="D13" s="94"/>
      <c r="E13" s="94"/>
      <c r="F13" s="91" t="s">
        <v>1081</v>
      </c>
      <c r="G13" s="1"/>
      <c r="H13" s="1"/>
      <c r="I13" s="1"/>
      <c r="J13" s="1"/>
      <c r="K13" s="1"/>
      <c r="L13" s="1"/>
      <c r="M13" s="1"/>
      <c r="N13" s="1"/>
      <c r="O13" s="1"/>
      <c r="P13" s="1"/>
      <c r="Q13" s="1"/>
      <c r="R13" s="1"/>
      <c r="S13" s="1"/>
      <c r="T13" s="1"/>
      <c r="U13" s="1"/>
      <c r="V13" s="1"/>
      <c r="W13" s="1"/>
      <c r="X13" s="1"/>
      <c r="Y13" s="1"/>
      <c r="Z13" s="1"/>
    </row>
    <row r="14" ht="15.75" customHeight="1">
      <c r="A14" s="13"/>
      <c r="B14" s="94"/>
      <c r="C14" s="97">
        <f>8000*2.5</f>
        <v>20000</v>
      </c>
      <c r="D14" s="94"/>
      <c r="E14" s="94"/>
      <c r="F14" s="97" t="s">
        <v>292</v>
      </c>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3" t="s">
        <v>198</v>
      </c>
      <c r="B17" s="94"/>
      <c r="C17" s="91" t="s">
        <v>1082</v>
      </c>
      <c r="D17" s="91" t="s">
        <v>1083</v>
      </c>
      <c r="E17" s="91" t="s">
        <v>1084</v>
      </c>
      <c r="F17" s="245" t="s">
        <v>1085</v>
      </c>
      <c r="G17" s="1"/>
      <c r="H17" s="1"/>
      <c r="I17" s="1"/>
      <c r="J17" s="1"/>
      <c r="K17" s="1"/>
      <c r="L17" s="1"/>
      <c r="M17" s="1"/>
      <c r="N17" s="1"/>
      <c r="O17" s="1"/>
      <c r="P17" s="1"/>
      <c r="Q17" s="1"/>
      <c r="R17" s="1"/>
      <c r="S17" s="1"/>
      <c r="T17" s="1"/>
      <c r="U17" s="1"/>
      <c r="V17" s="1"/>
      <c r="W17" s="1"/>
      <c r="X17" s="1"/>
      <c r="Y17" s="1"/>
      <c r="Z17" s="1"/>
    </row>
    <row r="18">
      <c r="A18" s="13"/>
      <c r="B18" s="94"/>
      <c r="C18" s="125" t="s">
        <v>1086</v>
      </c>
      <c r="D18" s="125" t="s">
        <v>1087</v>
      </c>
      <c r="E18" s="125" t="s">
        <v>1088</v>
      </c>
      <c r="F18" s="97" t="s">
        <v>292</v>
      </c>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3" t="s">
        <v>966</v>
      </c>
      <c r="B21" s="94"/>
      <c r="C21" s="94"/>
      <c r="D21" s="94"/>
      <c r="E21" s="94"/>
      <c r="F21" s="245" t="s">
        <v>1089</v>
      </c>
      <c r="G21" s="1"/>
      <c r="H21" s="1"/>
      <c r="I21" s="1"/>
      <c r="J21" s="1"/>
      <c r="K21" s="1"/>
      <c r="L21" s="1"/>
      <c r="M21" s="1"/>
      <c r="N21" s="1"/>
      <c r="O21" s="1"/>
      <c r="P21" s="1"/>
      <c r="Q21" s="1"/>
      <c r="R21" s="1"/>
      <c r="S21" s="1"/>
      <c r="T21" s="1"/>
      <c r="U21" s="1"/>
      <c r="V21" s="1"/>
      <c r="W21" s="1"/>
      <c r="X21" s="1"/>
      <c r="Y21" s="1"/>
      <c r="Z21" s="1"/>
    </row>
    <row r="22" ht="15.75" customHeight="1">
      <c r="A22" s="13"/>
      <c r="B22" s="94"/>
      <c r="C22" s="94"/>
      <c r="D22" s="94"/>
      <c r="E22" s="94"/>
      <c r="F22" s="97" t="s">
        <v>292</v>
      </c>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3" t="s">
        <v>968</v>
      </c>
      <c r="B25" s="94"/>
      <c r="C25" s="94"/>
      <c r="D25" s="94"/>
      <c r="E25" s="94"/>
      <c r="F25" s="244" t="s">
        <v>1090</v>
      </c>
      <c r="G25" s="1"/>
      <c r="H25" s="1"/>
      <c r="I25" s="1"/>
      <c r="J25" s="1"/>
      <c r="K25" s="1"/>
      <c r="L25" s="1"/>
      <c r="M25" s="1"/>
      <c r="N25" s="1"/>
      <c r="O25" s="1"/>
      <c r="P25" s="1"/>
      <c r="Q25" s="1"/>
      <c r="R25" s="1"/>
      <c r="S25" s="1"/>
      <c r="T25" s="1"/>
      <c r="U25" s="1"/>
      <c r="V25" s="1"/>
      <c r="W25" s="1"/>
      <c r="X25" s="1"/>
      <c r="Y25" s="1"/>
      <c r="Z25" s="1"/>
    </row>
    <row r="26" ht="15.75" customHeight="1">
      <c r="A26" s="13"/>
      <c r="B26" s="94"/>
      <c r="C26" s="94"/>
      <c r="D26" s="94"/>
      <c r="E26" s="94"/>
      <c r="F26" s="97" t="s">
        <v>292</v>
      </c>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3" t="s">
        <v>98</v>
      </c>
      <c r="B29" s="94"/>
      <c r="C29" s="246" t="s">
        <v>1091</v>
      </c>
      <c r="D29" s="94"/>
      <c r="E29" s="94"/>
      <c r="F29" s="94"/>
      <c r="G29" s="1"/>
      <c r="H29" s="1"/>
      <c r="I29" s="1"/>
      <c r="J29" s="1"/>
      <c r="K29" s="1"/>
      <c r="L29" s="1"/>
      <c r="M29" s="1"/>
      <c r="N29" s="1"/>
      <c r="O29" s="1"/>
      <c r="P29" s="1"/>
      <c r="Q29" s="1"/>
      <c r="R29" s="1"/>
      <c r="S29" s="1"/>
      <c r="T29" s="1"/>
      <c r="U29" s="1"/>
      <c r="V29" s="1"/>
      <c r="W29" s="1"/>
      <c r="X29" s="1"/>
      <c r="Y29" s="1"/>
      <c r="Z29" s="1"/>
    </row>
    <row r="30" ht="15.75" customHeight="1">
      <c r="A30" s="13"/>
      <c r="B30" s="94"/>
      <c r="C30" s="12"/>
      <c r="D30" s="94"/>
      <c r="E30" s="94"/>
      <c r="F30" s="94"/>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247" t="s">
        <v>1092</v>
      </c>
      <c r="B33" s="94"/>
      <c r="C33" s="246" t="s">
        <v>1093</v>
      </c>
      <c r="D33" s="94"/>
      <c r="E33" s="94"/>
      <c r="F33" s="94"/>
      <c r="G33" s="1"/>
      <c r="H33" s="1"/>
      <c r="I33" s="1"/>
      <c r="J33" s="1"/>
      <c r="K33" s="1"/>
      <c r="L33" s="1"/>
      <c r="M33" s="1"/>
      <c r="N33" s="1"/>
      <c r="O33" s="1"/>
      <c r="P33" s="1"/>
      <c r="Q33" s="1"/>
      <c r="R33" s="1"/>
      <c r="S33" s="1"/>
      <c r="T33" s="1"/>
      <c r="U33" s="1"/>
      <c r="V33" s="1"/>
      <c r="W33" s="1"/>
      <c r="X33" s="1"/>
      <c r="Y33" s="1"/>
      <c r="Z33" s="1"/>
    </row>
    <row r="34" ht="15.75" customHeight="1">
      <c r="A34" s="158" t="s">
        <v>1094</v>
      </c>
      <c r="B34" s="94"/>
      <c r="C34" s="246"/>
      <c r="D34" s="94"/>
      <c r="E34" s="94"/>
      <c r="F34" s="94"/>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E3"/>
    <mergeCell ref="A8:F8"/>
  </mergeCells>
  <hyperlinks>
    <hyperlink display="Return to Home" location="TOC!A1" ref="G3"/>
    <hyperlink r:id="rId1" ref="B9"/>
    <hyperlink r:id="rId2" ref="F25"/>
    <hyperlink r:id="rId3" ref="A33"/>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41.0"/>
    <col customWidth="1" min="2" max="2" width="32.78"/>
    <col customWidth="1" min="3" max="3" width="41.44"/>
    <col customWidth="1" min="4" max="5" width="32.78"/>
    <col customWidth="1" min="6" max="6" width="10.78"/>
    <col customWidth="1" min="7" max="26" width="10.56"/>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45.75" customHeight="1">
      <c r="A3" s="4" t="s">
        <v>970</v>
      </c>
      <c r="B3" s="3"/>
      <c r="C3" s="85" t="s">
        <v>1095</v>
      </c>
      <c r="D3" s="86"/>
      <c r="E3" s="86"/>
      <c r="F3" s="1"/>
      <c r="G3" s="87" t="s">
        <v>105</v>
      </c>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30.0" customHeight="1">
      <c r="A6" s="88"/>
      <c r="B6" s="88" t="s">
        <v>106</v>
      </c>
      <c r="C6" s="88" t="s">
        <v>25</v>
      </c>
      <c r="D6" s="88" t="s">
        <v>26</v>
      </c>
      <c r="E6" s="88" t="s">
        <v>27</v>
      </c>
      <c r="F6" s="1"/>
      <c r="G6" s="1"/>
      <c r="H6" s="1"/>
      <c r="I6" s="1"/>
      <c r="J6" s="1"/>
      <c r="K6" s="1"/>
      <c r="L6" s="1"/>
      <c r="M6" s="1"/>
      <c r="N6" s="1"/>
      <c r="O6" s="1"/>
      <c r="P6" s="1"/>
      <c r="Q6" s="1"/>
      <c r="R6" s="1"/>
      <c r="S6" s="1"/>
      <c r="T6" s="1"/>
      <c r="U6" s="1"/>
      <c r="V6" s="1"/>
      <c r="W6" s="1"/>
      <c r="X6" s="1"/>
      <c r="Y6" s="1"/>
      <c r="Z6" s="1"/>
    </row>
    <row r="7" ht="30.0" customHeight="1">
      <c r="A7" s="89" t="s">
        <v>107</v>
      </c>
      <c r="B7" s="16"/>
      <c r="C7" s="16"/>
      <c r="D7" s="16"/>
      <c r="E7" s="16"/>
      <c r="F7" s="1"/>
      <c r="G7" s="1"/>
      <c r="H7" s="1"/>
      <c r="I7" s="1"/>
      <c r="J7" s="1"/>
      <c r="K7" s="1"/>
      <c r="L7" s="1"/>
      <c r="M7" s="1"/>
      <c r="N7" s="1"/>
      <c r="O7" s="1"/>
      <c r="P7" s="1"/>
      <c r="Q7" s="1"/>
      <c r="R7" s="1"/>
      <c r="S7" s="1"/>
      <c r="T7" s="1"/>
      <c r="U7" s="1"/>
      <c r="V7" s="1"/>
      <c r="W7" s="1"/>
      <c r="X7" s="1"/>
      <c r="Y7" s="1"/>
      <c r="Z7" s="1"/>
    </row>
    <row r="8" ht="15.75" customHeight="1">
      <c r="A8" s="122" t="s">
        <v>18</v>
      </c>
      <c r="B8" s="86"/>
      <c r="C8" s="86"/>
      <c r="D8" s="86"/>
      <c r="E8" s="86"/>
      <c r="F8" s="1"/>
      <c r="G8" s="1"/>
      <c r="H8" s="1"/>
      <c r="I8" s="1"/>
      <c r="J8" s="1"/>
      <c r="K8" s="1"/>
      <c r="L8" s="1"/>
      <c r="M8" s="1"/>
      <c r="N8" s="1"/>
      <c r="O8" s="1"/>
      <c r="P8" s="1"/>
      <c r="Q8" s="1"/>
      <c r="R8" s="1"/>
      <c r="S8" s="1"/>
      <c r="T8" s="1"/>
      <c r="U8" s="1"/>
      <c r="V8" s="1"/>
      <c r="W8" s="1"/>
      <c r="X8" s="1"/>
      <c r="Y8" s="1"/>
      <c r="Z8" s="1"/>
    </row>
    <row r="9">
      <c r="A9" s="13" t="s">
        <v>996</v>
      </c>
      <c r="B9" s="90" t="s">
        <v>108</v>
      </c>
      <c r="C9" s="98" t="s">
        <v>1096</v>
      </c>
      <c r="D9" s="98" t="s">
        <v>223</v>
      </c>
      <c r="E9" s="91" t="s">
        <v>575</v>
      </c>
      <c r="F9" s="1"/>
      <c r="G9" s="1"/>
      <c r="H9" s="1"/>
      <c r="I9" s="1"/>
      <c r="J9" s="1"/>
      <c r="K9" s="1"/>
      <c r="L9" s="1"/>
      <c r="M9" s="1"/>
      <c r="N9" s="1"/>
      <c r="O9" s="1"/>
      <c r="P9" s="1"/>
      <c r="Q9" s="1"/>
      <c r="R9" s="1"/>
      <c r="S9" s="1"/>
      <c r="T9" s="1"/>
      <c r="U9" s="1"/>
      <c r="V9" s="1"/>
      <c r="W9" s="1"/>
      <c r="X9" s="1"/>
      <c r="Y9" s="1"/>
      <c r="Z9" s="1"/>
    </row>
    <row r="10" ht="15.75" customHeight="1">
      <c r="A10" s="13"/>
      <c r="B10" s="94"/>
      <c r="C10" s="97" t="s">
        <v>125</v>
      </c>
      <c r="D10" s="97" t="s">
        <v>224</v>
      </c>
      <c r="E10" s="97" t="s">
        <v>1097</v>
      </c>
      <c r="F10" s="1"/>
      <c r="G10" s="1"/>
      <c r="H10" s="1"/>
      <c r="I10" s="1"/>
      <c r="J10" s="1"/>
      <c r="K10" s="1"/>
      <c r="L10" s="1"/>
      <c r="M10" s="1"/>
      <c r="N10" s="1"/>
      <c r="O10" s="1"/>
      <c r="P10" s="1"/>
      <c r="Q10" s="1"/>
      <c r="R10" s="1"/>
      <c r="S10" s="1"/>
      <c r="T10" s="1"/>
      <c r="U10" s="1"/>
      <c r="V10" s="1"/>
      <c r="W10" s="1"/>
      <c r="X10" s="1"/>
      <c r="Y10" s="1"/>
      <c r="Z10" s="1"/>
    </row>
    <row r="11" ht="15.75" customHeight="1">
      <c r="A11" s="1"/>
      <c r="B11" s="1"/>
      <c r="C11" s="1" t="s">
        <v>1098</v>
      </c>
      <c r="D11" s="1" t="s">
        <v>1099</v>
      </c>
      <c r="E11" s="1" t="s">
        <v>1100</v>
      </c>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3" t="s">
        <v>1000</v>
      </c>
      <c r="B13" s="94"/>
      <c r="C13" s="104" t="s">
        <v>1101</v>
      </c>
      <c r="D13" s="1"/>
      <c r="E13" s="1"/>
      <c r="F13" s="1"/>
      <c r="G13" s="1"/>
      <c r="H13" s="1"/>
      <c r="I13" s="1"/>
      <c r="J13" s="1"/>
      <c r="K13" s="1"/>
      <c r="L13" s="1"/>
      <c r="M13" s="1"/>
      <c r="N13" s="1"/>
      <c r="O13" s="1"/>
      <c r="P13" s="1"/>
      <c r="Q13" s="1"/>
      <c r="R13" s="1"/>
      <c r="S13" s="1"/>
      <c r="T13" s="1"/>
      <c r="U13" s="1"/>
      <c r="V13" s="1"/>
      <c r="W13" s="1"/>
      <c r="X13" s="1"/>
      <c r="Y13" s="1"/>
      <c r="Z13" s="1"/>
    </row>
    <row r="14">
      <c r="A14" s="248" t="s">
        <v>1102</v>
      </c>
      <c r="B14" s="94"/>
      <c r="C14" s="97">
        <v>2000.0</v>
      </c>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
      <c r="C15" s="1" t="s">
        <v>1103</v>
      </c>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3" t="s">
        <v>971</v>
      </c>
      <c r="B17" s="94"/>
      <c r="C17" s="91" t="s">
        <v>1104</v>
      </c>
      <c r="D17" s="1"/>
      <c r="E17" s="1"/>
      <c r="F17" s="1"/>
      <c r="G17" s="1"/>
      <c r="H17" s="1"/>
      <c r="I17" s="1"/>
      <c r="J17" s="1"/>
      <c r="K17" s="1"/>
      <c r="L17" s="1"/>
      <c r="M17" s="1"/>
      <c r="N17" s="1"/>
      <c r="O17" s="1"/>
      <c r="P17" s="1"/>
      <c r="Q17" s="1"/>
      <c r="R17" s="1"/>
      <c r="S17" s="1"/>
      <c r="T17" s="1"/>
      <c r="U17" s="1"/>
      <c r="V17" s="1"/>
      <c r="W17" s="1"/>
      <c r="X17" s="1"/>
      <c r="Y17" s="1"/>
      <c r="Z17" s="1"/>
    </row>
    <row r="18" ht="15.75" customHeight="1">
      <c r="A18" s="248" t="s">
        <v>1102</v>
      </c>
      <c r="B18" s="94"/>
      <c r="C18" s="97" t="s">
        <v>292</v>
      </c>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1"/>
      <c r="C19" s="1" t="s">
        <v>1105</v>
      </c>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42.0" customHeight="1">
      <c r="A21" s="13" t="s">
        <v>976</v>
      </c>
      <c r="B21" s="94"/>
      <c r="C21" s="91" t="s">
        <v>1106</v>
      </c>
      <c r="D21" s="1"/>
      <c r="E21" s="1"/>
      <c r="F21" s="1"/>
      <c r="G21" s="1"/>
      <c r="H21" s="1"/>
      <c r="I21" s="1"/>
      <c r="J21" s="1"/>
      <c r="K21" s="1"/>
      <c r="L21" s="1"/>
      <c r="M21" s="1"/>
      <c r="N21" s="1"/>
      <c r="O21" s="1"/>
      <c r="P21" s="1"/>
      <c r="Q21" s="1"/>
      <c r="R21" s="1"/>
      <c r="S21" s="1"/>
      <c r="T21" s="1"/>
      <c r="U21" s="1"/>
      <c r="V21" s="1"/>
      <c r="W21" s="1"/>
      <c r="X21" s="1"/>
      <c r="Y21" s="1"/>
      <c r="Z21" s="1"/>
    </row>
    <row r="22" ht="15.75" customHeight="1">
      <c r="A22" s="248" t="s">
        <v>1102</v>
      </c>
      <c r="B22" s="94"/>
      <c r="C22" s="97" t="s">
        <v>292</v>
      </c>
      <c r="D22" s="1"/>
      <c r="E22" s="1"/>
      <c r="F22" s="1"/>
      <c r="G22" s="1"/>
      <c r="H22" s="1"/>
      <c r="I22" s="1"/>
      <c r="J22" s="1"/>
      <c r="K22" s="1"/>
      <c r="L22" s="1"/>
      <c r="M22" s="1"/>
      <c r="N22" s="1"/>
      <c r="O22" s="1"/>
      <c r="P22" s="1"/>
      <c r="Q22" s="1"/>
      <c r="R22" s="1"/>
      <c r="S22" s="1"/>
      <c r="T22" s="1"/>
      <c r="U22" s="1"/>
      <c r="V22" s="1"/>
      <c r="W22" s="1"/>
      <c r="X22" s="1"/>
      <c r="Y22" s="1"/>
      <c r="Z22" s="1"/>
    </row>
    <row r="23" ht="15.0" customHeight="1">
      <c r="A23" s="1"/>
      <c r="B23" s="1"/>
      <c r="C23" s="1" t="s">
        <v>1107</v>
      </c>
      <c r="D23" s="1"/>
      <c r="E23" s="1"/>
      <c r="F23" s="1"/>
      <c r="G23" s="1"/>
      <c r="H23" s="1"/>
      <c r="I23" s="1"/>
      <c r="J23" s="1"/>
      <c r="K23" s="1"/>
      <c r="L23" s="1"/>
      <c r="M23" s="1"/>
      <c r="N23" s="1"/>
      <c r="O23" s="1"/>
      <c r="P23" s="1"/>
      <c r="Q23" s="1"/>
      <c r="R23" s="1"/>
      <c r="S23" s="1"/>
      <c r="T23" s="1"/>
      <c r="U23" s="1"/>
      <c r="V23" s="1"/>
      <c r="W23" s="1"/>
      <c r="X23" s="1"/>
      <c r="Y23" s="1"/>
      <c r="Z23" s="1"/>
    </row>
    <row r="24" ht="15.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3" t="s">
        <v>978</v>
      </c>
      <c r="B25" s="94"/>
      <c r="C25" s="91" t="s">
        <v>1108</v>
      </c>
      <c r="D25" s="1"/>
      <c r="E25" s="1"/>
      <c r="F25" s="1"/>
      <c r="G25" s="1"/>
      <c r="H25" s="1"/>
      <c r="I25" s="1"/>
      <c r="J25" s="1"/>
      <c r="K25" s="1"/>
      <c r="L25" s="1"/>
      <c r="M25" s="1"/>
      <c r="N25" s="1"/>
      <c r="O25" s="1"/>
      <c r="P25" s="1"/>
      <c r="Q25" s="1"/>
      <c r="R25" s="1"/>
      <c r="S25" s="1"/>
      <c r="T25" s="1"/>
      <c r="U25" s="1"/>
      <c r="V25" s="1"/>
      <c r="W25" s="1"/>
      <c r="X25" s="1"/>
      <c r="Y25" s="1"/>
      <c r="Z25" s="1"/>
    </row>
    <row r="26" ht="15.75" customHeight="1">
      <c r="A26" s="248" t="s">
        <v>1102</v>
      </c>
      <c r="B26" s="94"/>
      <c r="C26" s="97" t="s">
        <v>292</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t="s">
        <v>1109</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3" t="s">
        <v>981</v>
      </c>
      <c r="B29" s="94"/>
      <c r="C29" s="91" t="s">
        <v>1110</v>
      </c>
      <c r="D29" s="1"/>
      <c r="E29" s="1"/>
      <c r="F29" s="1"/>
      <c r="G29" s="1"/>
      <c r="H29" s="1"/>
      <c r="I29" s="1"/>
      <c r="J29" s="1"/>
      <c r="K29" s="1"/>
      <c r="L29" s="1"/>
      <c r="M29" s="1"/>
      <c r="N29" s="1"/>
      <c r="O29" s="1"/>
      <c r="P29" s="1"/>
      <c r="Q29" s="1"/>
      <c r="R29" s="1"/>
      <c r="S29" s="1"/>
      <c r="T29" s="1"/>
      <c r="U29" s="1"/>
      <c r="V29" s="1"/>
      <c r="W29" s="1"/>
      <c r="X29" s="1"/>
      <c r="Y29" s="1"/>
      <c r="Z29" s="1"/>
    </row>
    <row r="30" ht="15.75" customHeight="1">
      <c r="A30" s="248" t="s">
        <v>1102</v>
      </c>
      <c r="B30" s="94"/>
      <c r="C30" s="97" t="s">
        <v>292</v>
      </c>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t="s">
        <v>1111</v>
      </c>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3" t="s">
        <v>984</v>
      </c>
      <c r="B33" s="94"/>
      <c r="C33" s="91" t="s">
        <v>1112</v>
      </c>
      <c r="D33" s="1"/>
      <c r="E33" s="1"/>
      <c r="F33" s="1"/>
      <c r="G33" s="1"/>
      <c r="H33" s="1"/>
      <c r="I33" s="1"/>
      <c r="J33" s="1"/>
      <c r="K33" s="1"/>
      <c r="L33" s="1"/>
      <c r="M33" s="1"/>
      <c r="N33" s="1"/>
      <c r="O33" s="1"/>
      <c r="P33" s="1"/>
      <c r="Q33" s="1"/>
      <c r="R33" s="1"/>
      <c r="S33" s="1"/>
      <c r="T33" s="1"/>
      <c r="U33" s="1"/>
      <c r="V33" s="1"/>
      <c r="W33" s="1"/>
      <c r="X33" s="1"/>
      <c r="Y33" s="1"/>
      <c r="Z33" s="1"/>
    </row>
    <row r="34" ht="15.75" customHeight="1">
      <c r="A34" s="248" t="s">
        <v>1102</v>
      </c>
      <c r="B34" s="94"/>
      <c r="C34" s="97" t="s">
        <v>292</v>
      </c>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t="s">
        <v>1113</v>
      </c>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3" t="s">
        <v>986</v>
      </c>
      <c r="B37" s="94"/>
      <c r="C37" s="91" t="s">
        <v>1114</v>
      </c>
      <c r="D37" s="1"/>
      <c r="E37" s="1"/>
      <c r="F37" s="1"/>
      <c r="G37" s="1"/>
      <c r="H37" s="1"/>
      <c r="I37" s="1"/>
      <c r="J37" s="1"/>
      <c r="K37" s="1"/>
      <c r="L37" s="1"/>
      <c r="M37" s="1"/>
      <c r="N37" s="1"/>
      <c r="O37" s="1"/>
      <c r="P37" s="1"/>
      <c r="Q37" s="1"/>
      <c r="R37" s="1"/>
      <c r="S37" s="1"/>
      <c r="T37" s="1"/>
      <c r="U37" s="1"/>
      <c r="V37" s="1"/>
      <c r="W37" s="1"/>
      <c r="X37" s="1"/>
      <c r="Y37" s="1"/>
      <c r="Z37" s="1"/>
    </row>
    <row r="38" ht="15.75" customHeight="1">
      <c r="A38" s="248" t="s">
        <v>1102</v>
      </c>
      <c r="B38" s="94"/>
      <c r="C38" s="97" t="s">
        <v>292</v>
      </c>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t="s">
        <v>1115</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3" t="s">
        <v>988</v>
      </c>
      <c r="B41" s="94"/>
      <c r="C41" s="91" t="s">
        <v>1116</v>
      </c>
      <c r="D41" s="1"/>
      <c r="E41" s="1"/>
      <c r="F41" s="1"/>
      <c r="G41" s="1"/>
      <c r="H41" s="1"/>
      <c r="I41" s="1"/>
      <c r="J41" s="1"/>
      <c r="K41" s="1"/>
      <c r="L41" s="1"/>
      <c r="M41" s="1"/>
      <c r="N41" s="1"/>
      <c r="O41" s="1"/>
      <c r="P41" s="1"/>
      <c r="Q41" s="1"/>
      <c r="R41" s="1"/>
      <c r="S41" s="1"/>
      <c r="T41" s="1"/>
      <c r="U41" s="1"/>
      <c r="V41" s="1"/>
      <c r="W41" s="1"/>
      <c r="X41" s="1"/>
      <c r="Y41" s="1"/>
      <c r="Z41" s="1"/>
    </row>
    <row r="42" ht="15.75" customHeight="1">
      <c r="A42" s="248" t="s">
        <v>1102</v>
      </c>
      <c r="B42" s="94"/>
      <c r="C42" s="97" t="s">
        <v>292</v>
      </c>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t="s">
        <v>1117</v>
      </c>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85.5" customHeight="1">
      <c r="A45" s="13" t="s">
        <v>990</v>
      </c>
      <c r="B45" s="94"/>
      <c r="C45" s="91" t="s">
        <v>1118</v>
      </c>
      <c r="D45" s="1"/>
      <c r="E45" s="1"/>
      <c r="F45" s="1"/>
      <c r="G45" s="1"/>
      <c r="H45" s="1"/>
      <c r="I45" s="1"/>
      <c r="J45" s="1"/>
      <c r="K45" s="1"/>
      <c r="L45" s="1"/>
      <c r="M45" s="1"/>
      <c r="N45" s="1"/>
      <c r="O45" s="1"/>
      <c r="P45" s="1"/>
      <c r="Q45" s="1"/>
      <c r="R45" s="1"/>
      <c r="S45" s="1"/>
      <c r="T45" s="1"/>
      <c r="U45" s="1"/>
      <c r="V45" s="1"/>
      <c r="W45" s="1"/>
      <c r="X45" s="1"/>
      <c r="Y45" s="1"/>
      <c r="Z45" s="1"/>
    </row>
    <row r="46" ht="75.75" customHeight="1">
      <c r="A46" s="248" t="s">
        <v>1119</v>
      </c>
      <c r="B46" s="94"/>
      <c r="C46" s="97" t="s">
        <v>292</v>
      </c>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t="s">
        <v>1120</v>
      </c>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E3"/>
    <mergeCell ref="A8:E8"/>
  </mergeCells>
  <hyperlinks>
    <hyperlink display="Return to Home" location="TOC!A1" ref="G3"/>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11.22"/>
    <col customWidth="1" min="3" max="3" width="15.22"/>
    <col customWidth="1" min="4" max="6" width="11.22"/>
  </cols>
  <sheetData>
    <row r="2">
      <c r="A2" s="195" t="s">
        <v>1121</v>
      </c>
    </row>
    <row r="4">
      <c r="A4" s="195" t="s">
        <v>1122</v>
      </c>
    </row>
    <row r="5">
      <c r="A5" s="195" t="s">
        <v>1123</v>
      </c>
    </row>
    <row r="6">
      <c r="A6" s="195" t="s">
        <v>1124</v>
      </c>
    </row>
    <row r="7">
      <c r="A7" s="195" t="s">
        <v>1125</v>
      </c>
    </row>
    <row r="8">
      <c r="A8" s="195" t="s">
        <v>1126</v>
      </c>
    </row>
    <row r="9">
      <c r="A9" s="195" t="s">
        <v>1127</v>
      </c>
    </row>
    <row r="10">
      <c r="A10" s="195" t="s">
        <v>1128</v>
      </c>
    </row>
    <row r="11">
      <c r="A11" s="195" t="s">
        <v>1129</v>
      </c>
    </row>
    <row r="12">
      <c r="A12" s="195" t="s">
        <v>1130</v>
      </c>
    </row>
    <row r="13">
      <c r="A13" s="195" t="s">
        <v>1131</v>
      </c>
    </row>
    <row r="14">
      <c r="A14" s="195" t="s">
        <v>1132</v>
      </c>
    </row>
    <row r="15">
      <c r="A15" s="195" t="s">
        <v>1133</v>
      </c>
    </row>
    <row r="18">
      <c r="A18" s="249" t="s">
        <v>1134</v>
      </c>
      <c r="B18" s="249" t="s">
        <v>1135</v>
      </c>
      <c r="C18" s="250"/>
      <c r="D18" s="195" t="s">
        <v>1136</v>
      </c>
    </row>
    <row r="19">
      <c r="A19" s="195" t="s">
        <v>1137</v>
      </c>
    </row>
    <row r="20">
      <c r="A20" s="195" t="s">
        <v>1138</v>
      </c>
    </row>
    <row r="21" ht="15.75" customHeight="1">
      <c r="A21" s="195" t="s">
        <v>1139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33"/>
    <col customWidth="1" min="2" max="4" width="18.11"/>
    <col customWidth="1" min="5" max="6" width="11.22"/>
  </cols>
  <sheetData>
    <row r="1">
      <c r="A1" s="251"/>
      <c r="B1" s="252" t="s">
        <v>757</v>
      </c>
      <c r="C1" s="252" t="s">
        <v>1016</v>
      </c>
      <c r="D1" s="252" t="s">
        <v>1140</v>
      </c>
    </row>
    <row r="2">
      <c r="A2" s="253" t="s">
        <v>1141</v>
      </c>
      <c r="B2" s="254" t="s">
        <v>1142</v>
      </c>
      <c r="C2" s="254" t="s">
        <v>1142</v>
      </c>
      <c r="D2" s="254" t="s">
        <v>1143</v>
      </c>
    </row>
    <row r="3">
      <c r="A3" s="253" t="s">
        <v>1144</v>
      </c>
      <c r="B3" s="254" t="s">
        <v>1142</v>
      </c>
      <c r="C3" s="254" t="s">
        <v>1142</v>
      </c>
      <c r="D3" s="254" t="s">
        <v>1143</v>
      </c>
    </row>
    <row r="4">
      <c r="A4" s="253" t="s">
        <v>1145</v>
      </c>
      <c r="B4" s="254" t="s">
        <v>1142</v>
      </c>
      <c r="C4" s="254" t="s">
        <v>1143</v>
      </c>
      <c r="D4" s="254" t="s">
        <v>1143</v>
      </c>
    </row>
    <row r="5">
      <c r="A5" s="253" t="s">
        <v>1146</v>
      </c>
      <c r="B5" s="254" t="s">
        <v>1143</v>
      </c>
      <c r="C5" s="254" t="s">
        <v>1143</v>
      </c>
      <c r="D5" s="254" t="s">
        <v>1147</v>
      </c>
    </row>
    <row r="6">
      <c r="A6" s="253" t="s">
        <v>1148</v>
      </c>
      <c r="B6" s="254" t="s">
        <v>1149</v>
      </c>
      <c r="C6" s="254" t="s">
        <v>1142</v>
      </c>
      <c r="D6" s="254" t="s">
        <v>1147</v>
      </c>
    </row>
    <row r="7">
      <c r="A7" s="253" t="s">
        <v>1150</v>
      </c>
      <c r="B7" s="254" t="s">
        <v>1149</v>
      </c>
      <c r="C7" s="254" t="s">
        <v>1149</v>
      </c>
      <c r="D7" s="254" t="s">
        <v>1147</v>
      </c>
    </row>
    <row r="8">
      <c r="A8" s="253" t="s">
        <v>1151</v>
      </c>
      <c r="B8" s="254" t="s">
        <v>1142</v>
      </c>
      <c r="C8" s="254" t="s">
        <v>1142</v>
      </c>
      <c r="D8" s="254" t="s">
        <v>1142</v>
      </c>
    </row>
    <row r="9">
      <c r="A9" s="253" t="s">
        <v>1152</v>
      </c>
      <c r="B9" s="254" t="s">
        <v>1142</v>
      </c>
      <c r="C9" s="254" t="s">
        <v>1142</v>
      </c>
      <c r="D9" s="254" t="s">
        <v>1142</v>
      </c>
    </row>
    <row r="10">
      <c r="A10" s="253" t="s">
        <v>1153</v>
      </c>
      <c r="B10" s="254" t="s">
        <v>1142</v>
      </c>
      <c r="C10" s="254" t="s">
        <v>1142</v>
      </c>
      <c r="D10" s="254" t="s">
        <v>1143</v>
      </c>
    </row>
    <row r="11">
      <c r="A11" s="253" t="s">
        <v>1154</v>
      </c>
      <c r="B11" s="254" t="s">
        <v>1147</v>
      </c>
      <c r="C11" s="254" t="s">
        <v>1142</v>
      </c>
      <c r="D11" s="254" t="s">
        <v>1147</v>
      </c>
    </row>
    <row r="12">
      <c r="A12" s="253" t="s">
        <v>1155</v>
      </c>
      <c r="B12" s="254" t="s">
        <v>1142</v>
      </c>
      <c r="C12" s="254" t="s">
        <v>1142</v>
      </c>
      <c r="D12" s="254" t="s">
        <v>1147</v>
      </c>
    </row>
    <row r="13">
      <c r="B13" s="209"/>
      <c r="C13" s="209"/>
      <c r="D13" s="209"/>
    </row>
    <row r="14">
      <c r="B14" s="209"/>
      <c r="C14" s="209"/>
      <c r="D14" s="209"/>
    </row>
    <row r="15">
      <c r="B15" s="209"/>
      <c r="C15" s="209"/>
      <c r="D15" s="209"/>
    </row>
    <row r="16">
      <c r="B16" s="209"/>
      <c r="C16" s="209"/>
      <c r="D16" s="209"/>
    </row>
    <row r="17">
      <c r="B17" s="209"/>
      <c r="C17" s="209"/>
      <c r="D17" s="209"/>
    </row>
    <row r="18">
      <c r="B18" s="209"/>
      <c r="C18" s="209"/>
      <c r="D18" s="209"/>
    </row>
    <row r="19">
      <c r="B19" s="209"/>
      <c r="C19" s="209"/>
      <c r="D19" s="209"/>
    </row>
    <row r="20">
      <c r="B20" s="209"/>
      <c r="C20" s="209"/>
      <c r="D20" s="209"/>
    </row>
    <row r="21" ht="15.75" customHeight="1">
      <c r="B21" s="209"/>
      <c r="C21" s="209"/>
      <c r="D21" s="209"/>
    </row>
    <row r="22" ht="15.75" customHeight="1">
      <c r="B22" s="209"/>
      <c r="C22" s="209"/>
      <c r="D22" s="209"/>
    </row>
    <row r="23" ht="15.75" customHeight="1">
      <c r="B23" s="209"/>
      <c r="C23" s="209"/>
      <c r="D23" s="209"/>
    </row>
    <row r="24" ht="15.75" customHeight="1">
      <c r="B24" s="209"/>
      <c r="C24" s="209"/>
      <c r="D24" s="209"/>
    </row>
    <row r="25" ht="15.75" customHeight="1">
      <c r="B25" s="209"/>
      <c r="C25" s="209"/>
      <c r="D25" s="209"/>
    </row>
    <row r="26" ht="15.75" customHeight="1">
      <c r="B26" s="209"/>
      <c r="C26" s="209"/>
      <c r="D26" s="209"/>
    </row>
    <row r="27" ht="15.75" customHeight="1">
      <c r="B27" s="209"/>
      <c r="C27" s="209"/>
      <c r="D27" s="209"/>
    </row>
    <row r="28" ht="15.75" customHeight="1">
      <c r="B28" s="209"/>
      <c r="C28" s="209"/>
      <c r="D28" s="209"/>
    </row>
    <row r="29" ht="15.75" customHeight="1">
      <c r="B29" s="209"/>
      <c r="C29" s="209"/>
      <c r="D29" s="209"/>
    </row>
    <row r="30" ht="15.75" customHeight="1">
      <c r="B30" s="209"/>
      <c r="C30" s="209"/>
      <c r="D30" s="209"/>
    </row>
    <row r="31" ht="15.75" customHeight="1">
      <c r="B31" s="209"/>
      <c r="C31" s="209"/>
      <c r="D31" s="209"/>
    </row>
    <row r="32" ht="15.75" customHeight="1">
      <c r="B32" s="209"/>
      <c r="C32" s="209"/>
      <c r="D32" s="209"/>
    </row>
    <row r="33" ht="15.75" customHeight="1">
      <c r="B33" s="209"/>
      <c r="C33" s="209"/>
      <c r="D33" s="209"/>
    </row>
    <row r="34" ht="15.75" customHeight="1">
      <c r="B34" s="209"/>
      <c r="C34" s="209"/>
      <c r="D34" s="209"/>
    </row>
    <row r="35" ht="15.75" customHeight="1">
      <c r="B35" s="209"/>
      <c r="C35" s="209"/>
      <c r="D35" s="209"/>
    </row>
    <row r="36" ht="15.75" customHeight="1">
      <c r="B36" s="209"/>
      <c r="C36" s="209"/>
      <c r="D36" s="209"/>
    </row>
    <row r="37" ht="15.75" customHeight="1">
      <c r="B37" s="209"/>
      <c r="C37" s="209"/>
      <c r="D37" s="209"/>
    </row>
    <row r="38" ht="15.75" customHeight="1">
      <c r="B38" s="209"/>
      <c r="C38" s="209"/>
      <c r="D38" s="209"/>
    </row>
    <row r="39" ht="15.75" customHeight="1">
      <c r="B39" s="209"/>
      <c r="C39" s="209"/>
      <c r="D39" s="209"/>
    </row>
    <row r="40" ht="15.75" customHeight="1">
      <c r="B40" s="209"/>
      <c r="C40" s="209"/>
      <c r="D40" s="209"/>
    </row>
    <row r="41" ht="15.75" customHeight="1">
      <c r="B41" s="209"/>
      <c r="C41" s="209"/>
      <c r="D41" s="209"/>
    </row>
    <row r="42" ht="15.75" customHeight="1">
      <c r="B42" s="209"/>
      <c r="C42" s="209"/>
      <c r="D42" s="209"/>
    </row>
    <row r="43" ht="15.75" customHeight="1">
      <c r="B43" s="209"/>
      <c r="C43" s="209"/>
      <c r="D43" s="209"/>
    </row>
    <row r="44" ht="15.75" customHeight="1">
      <c r="B44" s="209"/>
      <c r="C44" s="209"/>
      <c r="D44" s="209"/>
    </row>
    <row r="45" ht="15.75" customHeight="1">
      <c r="B45" s="209"/>
      <c r="C45" s="209"/>
      <c r="D45" s="209"/>
    </row>
    <row r="46" ht="15.75" customHeight="1">
      <c r="B46" s="209"/>
      <c r="C46" s="209"/>
      <c r="D46" s="209"/>
    </row>
    <row r="47" ht="15.75" customHeight="1">
      <c r="B47" s="209"/>
      <c r="C47" s="209"/>
      <c r="D47" s="209"/>
    </row>
    <row r="48" ht="15.75" customHeight="1">
      <c r="B48" s="209"/>
      <c r="C48" s="209"/>
      <c r="D48" s="209"/>
    </row>
    <row r="49" ht="15.75" customHeight="1">
      <c r="B49" s="209"/>
      <c r="C49" s="209"/>
      <c r="D49" s="209"/>
    </row>
    <row r="50" ht="15.75" customHeight="1">
      <c r="B50" s="209"/>
      <c r="C50" s="209"/>
      <c r="D50" s="209"/>
    </row>
    <row r="51" ht="15.75" customHeight="1">
      <c r="B51" s="209"/>
      <c r="C51" s="209"/>
      <c r="D51" s="209"/>
    </row>
    <row r="52" ht="15.75" customHeight="1">
      <c r="B52" s="209"/>
      <c r="C52" s="209"/>
      <c r="D52" s="209"/>
    </row>
    <row r="53" ht="15.75" customHeight="1">
      <c r="B53" s="209"/>
      <c r="C53" s="209"/>
      <c r="D53" s="209"/>
    </row>
    <row r="54" ht="15.75" customHeight="1">
      <c r="B54" s="209"/>
      <c r="C54" s="209"/>
      <c r="D54" s="209"/>
    </row>
    <row r="55" ht="15.75" customHeight="1">
      <c r="B55" s="209"/>
      <c r="C55" s="209"/>
      <c r="D55" s="209"/>
    </row>
    <row r="56" ht="15.75" customHeight="1">
      <c r="B56" s="209"/>
      <c r="C56" s="209"/>
      <c r="D56" s="209"/>
    </row>
    <row r="57" ht="15.75" customHeight="1">
      <c r="B57" s="209"/>
      <c r="C57" s="209"/>
      <c r="D57" s="209"/>
    </row>
    <row r="58" ht="15.75" customHeight="1">
      <c r="B58" s="209"/>
      <c r="C58" s="209"/>
      <c r="D58" s="209"/>
    </row>
    <row r="59" ht="15.75" customHeight="1">
      <c r="B59" s="209"/>
      <c r="C59" s="209"/>
      <c r="D59" s="209"/>
    </row>
    <row r="60" ht="15.75" customHeight="1">
      <c r="B60" s="209"/>
      <c r="C60" s="209"/>
      <c r="D60" s="209"/>
    </row>
    <row r="61" ht="15.75" customHeight="1">
      <c r="B61" s="209"/>
      <c r="C61" s="209"/>
      <c r="D61" s="209"/>
    </row>
    <row r="62" ht="15.75" customHeight="1">
      <c r="B62" s="209"/>
      <c r="C62" s="209"/>
      <c r="D62" s="209"/>
    </row>
    <row r="63" ht="15.75" customHeight="1">
      <c r="B63" s="209"/>
      <c r="C63" s="209"/>
      <c r="D63" s="209"/>
    </row>
    <row r="64" ht="15.75" customHeight="1">
      <c r="B64" s="209"/>
      <c r="C64" s="209"/>
      <c r="D64" s="209"/>
    </row>
    <row r="65" ht="15.75" customHeight="1">
      <c r="B65" s="209"/>
      <c r="C65" s="209"/>
      <c r="D65" s="209"/>
    </row>
    <row r="66" ht="15.75" customHeight="1">
      <c r="B66" s="209"/>
      <c r="C66" s="209"/>
      <c r="D66" s="209"/>
    </row>
    <row r="67" ht="15.75" customHeight="1">
      <c r="B67" s="209"/>
      <c r="C67" s="209"/>
      <c r="D67" s="209"/>
    </row>
    <row r="68" ht="15.75" customHeight="1">
      <c r="B68" s="209"/>
      <c r="C68" s="209"/>
      <c r="D68" s="209"/>
    </row>
    <row r="69" ht="15.75" customHeight="1">
      <c r="B69" s="209"/>
      <c r="C69" s="209"/>
      <c r="D69" s="209"/>
    </row>
    <row r="70" ht="15.75" customHeight="1">
      <c r="B70" s="209"/>
      <c r="C70" s="209"/>
      <c r="D70" s="209"/>
    </row>
    <row r="71" ht="15.75" customHeight="1">
      <c r="B71" s="209"/>
      <c r="C71" s="209"/>
      <c r="D71" s="209"/>
    </row>
    <row r="72" ht="15.75" customHeight="1">
      <c r="B72" s="209"/>
      <c r="C72" s="209"/>
      <c r="D72" s="209"/>
    </row>
    <row r="73" ht="15.75" customHeight="1">
      <c r="B73" s="209"/>
      <c r="C73" s="209"/>
      <c r="D73" s="209"/>
    </row>
    <row r="74" ht="15.75" customHeight="1">
      <c r="B74" s="209"/>
      <c r="C74" s="209"/>
      <c r="D74" s="209"/>
    </row>
    <row r="75" ht="15.75" customHeight="1">
      <c r="B75" s="209"/>
      <c r="C75" s="209"/>
      <c r="D75" s="209"/>
    </row>
    <row r="76" ht="15.75" customHeight="1">
      <c r="B76" s="209"/>
      <c r="C76" s="209"/>
      <c r="D76" s="209"/>
    </row>
    <row r="77" ht="15.75" customHeight="1">
      <c r="B77" s="209"/>
      <c r="C77" s="209"/>
      <c r="D77" s="209"/>
    </row>
    <row r="78" ht="15.75" customHeight="1">
      <c r="B78" s="209"/>
      <c r="C78" s="209"/>
      <c r="D78" s="209"/>
    </row>
    <row r="79" ht="15.75" customHeight="1">
      <c r="B79" s="209"/>
      <c r="C79" s="209"/>
      <c r="D79" s="209"/>
    </row>
    <row r="80" ht="15.75" customHeight="1">
      <c r="B80" s="209"/>
      <c r="C80" s="209"/>
      <c r="D80" s="209"/>
    </row>
    <row r="81" ht="15.75" customHeight="1">
      <c r="B81" s="209"/>
      <c r="C81" s="209"/>
      <c r="D81" s="209"/>
    </row>
    <row r="82" ht="15.75" customHeight="1">
      <c r="B82" s="209"/>
      <c r="C82" s="209"/>
      <c r="D82" s="209"/>
    </row>
    <row r="83" ht="15.75" customHeight="1">
      <c r="B83" s="209"/>
      <c r="C83" s="209"/>
      <c r="D83" s="209"/>
    </row>
    <row r="84" ht="15.75" customHeight="1">
      <c r="B84" s="209"/>
      <c r="C84" s="209"/>
      <c r="D84" s="209"/>
    </row>
    <row r="85" ht="15.75" customHeight="1">
      <c r="B85" s="209"/>
      <c r="C85" s="209"/>
      <c r="D85" s="209"/>
    </row>
    <row r="86" ht="15.75" customHeight="1">
      <c r="B86" s="209"/>
      <c r="C86" s="209"/>
      <c r="D86" s="209"/>
    </row>
    <row r="87" ht="15.75" customHeight="1">
      <c r="B87" s="209"/>
      <c r="C87" s="209"/>
      <c r="D87" s="209"/>
    </row>
    <row r="88" ht="15.75" customHeight="1">
      <c r="B88" s="209"/>
      <c r="C88" s="209"/>
      <c r="D88" s="209"/>
    </row>
    <row r="89" ht="15.75" customHeight="1">
      <c r="B89" s="209"/>
      <c r="C89" s="209"/>
      <c r="D89" s="209"/>
    </row>
    <row r="90" ht="15.75" customHeight="1">
      <c r="B90" s="209"/>
      <c r="C90" s="209"/>
      <c r="D90" s="209"/>
    </row>
    <row r="91" ht="15.75" customHeight="1">
      <c r="B91" s="209"/>
      <c r="C91" s="209"/>
      <c r="D91" s="209"/>
    </row>
    <row r="92" ht="15.75" customHeight="1">
      <c r="B92" s="209"/>
      <c r="C92" s="209"/>
      <c r="D92" s="209"/>
    </row>
    <row r="93" ht="15.75" customHeight="1">
      <c r="B93" s="209"/>
      <c r="C93" s="209"/>
      <c r="D93" s="209"/>
    </row>
    <row r="94" ht="15.75" customHeight="1">
      <c r="B94" s="209"/>
      <c r="C94" s="209"/>
      <c r="D94" s="209"/>
    </row>
    <row r="95" ht="15.75" customHeight="1">
      <c r="B95" s="209"/>
      <c r="C95" s="209"/>
      <c r="D95" s="209"/>
    </row>
    <row r="96" ht="15.75" customHeight="1">
      <c r="B96" s="209"/>
      <c r="C96" s="209"/>
      <c r="D96" s="209"/>
    </row>
    <row r="97" ht="15.75" customHeight="1">
      <c r="B97" s="209"/>
      <c r="C97" s="209"/>
      <c r="D97" s="209"/>
    </row>
    <row r="98" ht="15.75" customHeight="1">
      <c r="B98" s="209"/>
      <c r="C98" s="209"/>
      <c r="D98" s="209"/>
    </row>
    <row r="99" ht="15.75" customHeight="1">
      <c r="B99" s="209"/>
      <c r="C99" s="209"/>
      <c r="D99" s="209"/>
    </row>
    <row r="100" ht="15.75" customHeight="1">
      <c r="B100" s="209"/>
      <c r="C100" s="209"/>
      <c r="D100" s="209"/>
    </row>
    <row r="101" ht="15.75" customHeight="1">
      <c r="B101" s="209"/>
      <c r="C101" s="209"/>
      <c r="D101" s="209"/>
    </row>
    <row r="102" ht="15.75" customHeight="1">
      <c r="B102" s="209"/>
      <c r="C102" s="209"/>
      <c r="D102" s="209"/>
    </row>
    <row r="103" ht="15.75" customHeight="1">
      <c r="B103" s="209"/>
      <c r="C103" s="209"/>
      <c r="D103" s="209"/>
    </row>
    <row r="104" ht="15.75" customHeight="1">
      <c r="B104" s="209"/>
      <c r="C104" s="209"/>
      <c r="D104" s="209"/>
    </row>
    <row r="105" ht="15.75" customHeight="1">
      <c r="B105" s="209"/>
      <c r="C105" s="209"/>
      <c r="D105" s="209"/>
    </row>
    <row r="106" ht="15.75" customHeight="1">
      <c r="B106" s="209"/>
      <c r="C106" s="209"/>
      <c r="D106" s="209"/>
    </row>
    <row r="107" ht="15.75" customHeight="1">
      <c r="B107" s="209"/>
      <c r="C107" s="209"/>
      <c r="D107" s="209"/>
    </row>
    <row r="108" ht="15.75" customHeight="1">
      <c r="B108" s="209"/>
      <c r="C108" s="209"/>
      <c r="D108" s="209"/>
    </row>
    <row r="109" ht="15.75" customHeight="1">
      <c r="B109" s="209"/>
      <c r="C109" s="209"/>
      <c r="D109" s="209"/>
    </row>
    <row r="110" ht="15.75" customHeight="1">
      <c r="B110" s="209"/>
      <c r="C110" s="209"/>
      <c r="D110" s="209"/>
    </row>
    <row r="111" ht="15.75" customHeight="1">
      <c r="B111" s="209"/>
      <c r="C111" s="209"/>
      <c r="D111" s="209"/>
    </row>
    <row r="112" ht="15.75" customHeight="1">
      <c r="B112" s="209"/>
      <c r="C112" s="209"/>
      <c r="D112" s="209"/>
    </row>
    <row r="113" ht="15.75" customHeight="1">
      <c r="B113" s="209"/>
      <c r="C113" s="209"/>
      <c r="D113" s="209"/>
    </row>
    <row r="114" ht="15.75" customHeight="1">
      <c r="B114" s="209"/>
      <c r="C114" s="209"/>
      <c r="D114" s="209"/>
    </row>
    <row r="115" ht="15.75" customHeight="1">
      <c r="B115" s="209"/>
      <c r="C115" s="209"/>
      <c r="D115" s="209"/>
    </row>
    <row r="116" ht="15.75" customHeight="1">
      <c r="B116" s="209"/>
      <c r="C116" s="209"/>
      <c r="D116" s="209"/>
    </row>
    <row r="117" ht="15.75" customHeight="1">
      <c r="B117" s="209"/>
      <c r="C117" s="209"/>
      <c r="D117" s="209"/>
    </row>
    <row r="118" ht="15.75" customHeight="1">
      <c r="B118" s="209"/>
      <c r="C118" s="209"/>
      <c r="D118" s="209"/>
    </row>
    <row r="119" ht="15.75" customHeight="1">
      <c r="B119" s="209"/>
      <c r="C119" s="209"/>
      <c r="D119" s="209"/>
    </row>
    <row r="120" ht="15.75" customHeight="1">
      <c r="B120" s="209"/>
      <c r="C120" s="209"/>
      <c r="D120" s="209"/>
    </row>
    <row r="121" ht="15.75" customHeight="1">
      <c r="B121" s="209"/>
      <c r="C121" s="209"/>
      <c r="D121" s="209"/>
    </row>
    <row r="122" ht="15.75" customHeight="1">
      <c r="B122" s="209"/>
      <c r="C122" s="209"/>
      <c r="D122" s="209"/>
    </row>
    <row r="123" ht="15.75" customHeight="1">
      <c r="B123" s="209"/>
      <c r="C123" s="209"/>
      <c r="D123" s="209"/>
    </row>
    <row r="124" ht="15.75" customHeight="1">
      <c r="B124" s="209"/>
      <c r="C124" s="209"/>
      <c r="D124" s="209"/>
    </row>
    <row r="125" ht="15.75" customHeight="1">
      <c r="B125" s="209"/>
      <c r="C125" s="209"/>
      <c r="D125" s="209"/>
    </row>
    <row r="126" ht="15.75" customHeight="1">
      <c r="B126" s="209"/>
      <c r="C126" s="209"/>
      <c r="D126" s="209"/>
    </row>
    <row r="127" ht="15.75" customHeight="1">
      <c r="B127" s="209"/>
      <c r="C127" s="209"/>
      <c r="D127" s="209"/>
    </row>
    <row r="128" ht="15.75" customHeight="1">
      <c r="B128" s="209"/>
      <c r="C128" s="209"/>
      <c r="D128" s="209"/>
    </row>
    <row r="129" ht="15.75" customHeight="1">
      <c r="B129" s="209"/>
      <c r="C129" s="209"/>
      <c r="D129" s="209"/>
    </row>
    <row r="130" ht="15.75" customHeight="1">
      <c r="B130" s="209"/>
      <c r="C130" s="209"/>
      <c r="D130" s="209"/>
    </row>
    <row r="131" ht="15.75" customHeight="1">
      <c r="B131" s="209"/>
      <c r="C131" s="209"/>
      <c r="D131" s="209"/>
    </row>
    <row r="132" ht="15.75" customHeight="1">
      <c r="B132" s="209"/>
      <c r="C132" s="209"/>
      <c r="D132" s="209"/>
    </row>
    <row r="133" ht="15.75" customHeight="1">
      <c r="B133" s="209"/>
      <c r="C133" s="209"/>
      <c r="D133" s="209"/>
    </row>
    <row r="134" ht="15.75" customHeight="1">
      <c r="B134" s="209"/>
      <c r="C134" s="209"/>
      <c r="D134" s="209"/>
    </row>
    <row r="135" ht="15.75" customHeight="1">
      <c r="B135" s="209"/>
      <c r="C135" s="209"/>
      <c r="D135" s="209"/>
    </row>
    <row r="136" ht="15.75" customHeight="1">
      <c r="B136" s="209"/>
      <c r="C136" s="209"/>
      <c r="D136" s="209"/>
    </row>
    <row r="137" ht="15.75" customHeight="1">
      <c r="B137" s="209"/>
      <c r="C137" s="209"/>
      <c r="D137" s="209"/>
    </row>
    <row r="138" ht="15.75" customHeight="1">
      <c r="B138" s="209"/>
      <c r="C138" s="209"/>
      <c r="D138" s="209"/>
    </row>
    <row r="139" ht="15.75" customHeight="1">
      <c r="B139" s="209"/>
      <c r="C139" s="209"/>
      <c r="D139" s="209"/>
    </row>
    <row r="140" ht="15.75" customHeight="1">
      <c r="B140" s="209"/>
      <c r="C140" s="209"/>
      <c r="D140" s="209"/>
    </row>
    <row r="141" ht="15.75" customHeight="1">
      <c r="B141" s="209"/>
      <c r="C141" s="209"/>
      <c r="D141" s="209"/>
    </row>
    <row r="142" ht="15.75" customHeight="1">
      <c r="B142" s="209"/>
      <c r="C142" s="209"/>
      <c r="D142" s="209"/>
    </row>
    <row r="143" ht="15.75" customHeight="1">
      <c r="B143" s="209"/>
      <c r="C143" s="209"/>
      <c r="D143" s="209"/>
    </row>
    <row r="144" ht="15.75" customHeight="1">
      <c r="B144" s="209"/>
      <c r="C144" s="209"/>
      <c r="D144" s="209"/>
    </row>
    <row r="145" ht="15.75" customHeight="1">
      <c r="B145" s="209"/>
      <c r="C145" s="209"/>
      <c r="D145" s="209"/>
    </row>
    <row r="146" ht="15.75" customHeight="1">
      <c r="B146" s="209"/>
      <c r="C146" s="209"/>
      <c r="D146" s="209"/>
    </row>
    <row r="147" ht="15.75" customHeight="1">
      <c r="B147" s="209"/>
      <c r="C147" s="209"/>
      <c r="D147" s="209"/>
    </row>
    <row r="148" ht="15.75" customHeight="1">
      <c r="B148" s="209"/>
      <c r="C148" s="209"/>
      <c r="D148" s="209"/>
    </row>
    <row r="149" ht="15.75" customHeight="1">
      <c r="B149" s="209"/>
      <c r="C149" s="209"/>
      <c r="D149" s="209"/>
    </row>
    <row r="150" ht="15.75" customHeight="1">
      <c r="B150" s="209"/>
      <c r="C150" s="209"/>
      <c r="D150" s="209"/>
    </row>
    <row r="151" ht="15.75" customHeight="1">
      <c r="B151" s="209"/>
      <c r="C151" s="209"/>
      <c r="D151" s="209"/>
    </row>
    <row r="152" ht="15.75" customHeight="1">
      <c r="B152" s="209"/>
      <c r="C152" s="209"/>
      <c r="D152" s="209"/>
    </row>
    <row r="153" ht="15.75" customHeight="1">
      <c r="B153" s="209"/>
      <c r="C153" s="209"/>
      <c r="D153" s="209"/>
    </row>
    <row r="154" ht="15.75" customHeight="1">
      <c r="B154" s="209"/>
      <c r="C154" s="209"/>
      <c r="D154" s="209"/>
    </row>
    <row r="155" ht="15.75" customHeight="1">
      <c r="B155" s="209"/>
      <c r="C155" s="209"/>
      <c r="D155" s="209"/>
    </row>
    <row r="156" ht="15.75" customHeight="1">
      <c r="B156" s="209"/>
      <c r="C156" s="209"/>
      <c r="D156" s="209"/>
    </row>
    <row r="157" ht="15.75" customHeight="1">
      <c r="B157" s="209"/>
      <c r="C157" s="209"/>
      <c r="D157" s="209"/>
    </row>
    <row r="158" ht="15.75" customHeight="1">
      <c r="B158" s="209"/>
      <c r="C158" s="209"/>
      <c r="D158" s="209"/>
    </row>
    <row r="159" ht="15.75" customHeight="1">
      <c r="B159" s="209"/>
      <c r="C159" s="209"/>
      <c r="D159" s="209"/>
    </row>
    <row r="160" ht="15.75" customHeight="1">
      <c r="B160" s="209"/>
      <c r="C160" s="209"/>
      <c r="D160" s="209"/>
    </row>
    <row r="161" ht="15.75" customHeight="1">
      <c r="B161" s="209"/>
      <c r="C161" s="209"/>
      <c r="D161" s="209"/>
    </row>
    <row r="162" ht="15.75" customHeight="1">
      <c r="B162" s="209"/>
      <c r="C162" s="209"/>
      <c r="D162" s="209"/>
    </row>
    <row r="163" ht="15.75" customHeight="1">
      <c r="B163" s="209"/>
      <c r="C163" s="209"/>
      <c r="D163" s="209"/>
    </row>
    <row r="164" ht="15.75" customHeight="1">
      <c r="B164" s="209"/>
      <c r="C164" s="209"/>
      <c r="D164" s="209"/>
    </row>
    <row r="165" ht="15.75" customHeight="1">
      <c r="B165" s="209"/>
      <c r="C165" s="209"/>
      <c r="D165" s="209"/>
    </row>
    <row r="166" ht="15.75" customHeight="1">
      <c r="B166" s="209"/>
      <c r="C166" s="209"/>
      <c r="D166" s="209"/>
    </row>
    <row r="167" ht="15.75" customHeight="1">
      <c r="B167" s="209"/>
      <c r="C167" s="209"/>
      <c r="D167" s="209"/>
    </row>
    <row r="168" ht="15.75" customHeight="1">
      <c r="B168" s="209"/>
      <c r="C168" s="209"/>
      <c r="D168" s="209"/>
    </row>
    <row r="169" ht="15.75" customHeight="1">
      <c r="B169" s="209"/>
      <c r="C169" s="209"/>
      <c r="D169" s="209"/>
    </row>
    <row r="170" ht="15.75" customHeight="1">
      <c r="B170" s="209"/>
      <c r="C170" s="209"/>
      <c r="D170" s="209"/>
    </row>
    <row r="171" ht="15.75" customHeight="1">
      <c r="B171" s="209"/>
      <c r="C171" s="209"/>
      <c r="D171" s="209"/>
    </row>
    <row r="172" ht="15.75" customHeight="1">
      <c r="B172" s="209"/>
      <c r="C172" s="209"/>
      <c r="D172" s="209"/>
    </row>
    <row r="173" ht="15.75" customHeight="1">
      <c r="B173" s="209"/>
      <c r="C173" s="209"/>
      <c r="D173" s="209"/>
    </row>
    <row r="174" ht="15.75" customHeight="1">
      <c r="B174" s="209"/>
      <c r="C174" s="209"/>
      <c r="D174" s="209"/>
    </row>
    <row r="175" ht="15.75" customHeight="1">
      <c r="B175" s="209"/>
      <c r="C175" s="209"/>
      <c r="D175" s="209"/>
    </row>
    <row r="176" ht="15.75" customHeight="1">
      <c r="B176" s="209"/>
      <c r="C176" s="209"/>
      <c r="D176" s="209"/>
    </row>
    <row r="177" ht="15.75" customHeight="1">
      <c r="B177" s="209"/>
      <c r="C177" s="209"/>
      <c r="D177" s="209"/>
    </row>
    <row r="178" ht="15.75" customHeight="1">
      <c r="B178" s="209"/>
      <c r="C178" s="209"/>
      <c r="D178" s="209"/>
    </row>
    <row r="179" ht="15.75" customHeight="1">
      <c r="B179" s="209"/>
      <c r="C179" s="209"/>
      <c r="D179" s="209"/>
    </row>
    <row r="180" ht="15.75" customHeight="1">
      <c r="B180" s="209"/>
      <c r="C180" s="209"/>
      <c r="D180" s="209"/>
    </row>
    <row r="181" ht="15.75" customHeight="1">
      <c r="B181" s="209"/>
      <c r="C181" s="209"/>
      <c r="D181" s="209"/>
    </row>
    <row r="182" ht="15.75" customHeight="1">
      <c r="B182" s="209"/>
      <c r="C182" s="209"/>
      <c r="D182" s="209"/>
    </row>
    <row r="183" ht="15.75" customHeight="1">
      <c r="B183" s="209"/>
      <c r="C183" s="209"/>
      <c r="D183" s="209"/>
    </row>
    <row r="184" ht="15.75" customHeight="1">
      <c r="B184" s="209"/>
      <c r="C184" s="209"/>
      <c r="D184" s="209"/>
    </row>
    <row r="185" ht="15.75" customHeight="1">
      <c r="B185" s="209"/>
      <c r="C185" s="209"/>
      <c r="D185" s="209"/>
    </row>
    <row r="186" ht="15.75" customHeight="1">
      <c r="B186" s="209"/>
      <c r="C186" s="209"/>
      <c r="D186" s="209"/>
    </row>
    <row r="187" ht="15.75" customHeight="1">
      <c r="B187" s="209"/>
      <c r="C187" s="209"/>
      <c r="D187" s="209"/>
    </row>
    <row r="188" ht="15.75" customHeight="1">
      <c r="B188" s="209"/>
      <c r="C188" s="209"/>
      <c r="D188" s="209"/>
    </row>
    <row r="189" ht="15.75" customHeight="1">
      <c r="B189" s="209"/>
      <c r="C189" s="209"/>
      <c r="D189" s="209"/>
    </row>
    <row r="190" ht="15.75" customHeight="1">
      <c r="B190" s="209"/>
      <c r="C190" s="209"/>
      <c r="D190" s="209"/>
    </row>
    <row r="191" ht="15.75" customHeight="1">
      <c r="B191" s="209"/>
      <c r="C191" s="209"/>
      <c r="D191" s="209"/>
    </row>
    <row r="192" ht="15.75" customHeight="1">
      <c r="B192" s="209"/>
      <c r="C192" s="209"/>
      <c r="D192" s="209"/>
    </row>
    <row r="193" ht="15.75" customHeight="1">
      <c r="B193" s="209"/>
      <c r="C193" s="209"/>
      <c r="D193" s="209"/>
    </row>
    <row r="194" ht="15.75" customHeight="1">
      <c r="B194" s="209"/>
      <c r="C194" s="209"/>
      <c r="D194" s="209"/>
    </row>
    <row r="195" ht="15.75" customHeight="1">
      <c r="B195" s="209"/>
      <c r="C195" s="209"/>
      <c r="D195" s="209"/>
    </row>
    <row r="196" ht="15.75" customHeight="1">
      <c r="B196" s="209"/>
      <c r="C196" s="209"/>
      <c r="D196" s="209"/>
    </row>
    <row r="197" ht="15.75" customHeight="1">
      <c r="B197" s="209"/>
      <c r="C197" s="209"/>
      <c r="D197" s="209"/>
    </row>
    <row r="198" ht="15.75" customHeight="1">
      <c r="B198" s="209"/>
      <c r="C198" s="209"/>
      <c r="D198" s="209"/>
    </row>
    <row r="199" ht="15.75" customHeight="1">
      <c r="B199" s="209"/>
      <c r="C199" s="209"/>
      <c r="D199" s="209"/>
    </row>
    <row r="200" ht="15.75" customHeight="1">
      <c r="B200" s="209"/>
      <c r="C200" s="209"/>
      <c r="D200" s="209"/>
    </row>
    <row r="201" ht="15.75" customHeight="1">
      <c r="B201" s="209"/>
      <c r="C201" s="209"/>
      <c r="D201" s="209"/>
    </row>
    <row r="202" ht="15.75" customHeight="1">
      <c r="B202" s="209"/>
      <c r="C202" s="209"/>
      <c r="D202" s="209"/>
    </row>
    <row r="203" ht="15.75" customHeight="1">
      <c r="B203" s="209"/>
      <c r="C203" s="209"/>
      <c r="D203" s="209"/>
    </row>
    <row r="204" ht="15.75" customHeight="1">
      <c r="B204" s="209"/>
      <c r="C204" s="209"/>
      <c r="D204" s="209"/>
    </row>
    <row r="205" ht="15.75" customHeight="1">
      <c r="B205" s="209"/>
      <c r="C205" s="209"/>
      <c r="D205" s="209"/>
    </row>
    <row r="206" ht="15.75" customHeight="1">
      <c r="B206" s="209"/>
      <c r="C206" s="209"/>
      <c r="D206" s="209"/>
    </row>
    <row r="207" ht="15.75" customHeight="1">
      <c r="B207" s="209"/>
      <c r="C207" s="209"/>
      <c r="D207" s="209"/>
    </row>
    <row r="208" ht="15.75" customHeight="1">
      <c r="B208" s="209"/>
      <c r="C208" s="209"/>
      <c r="D208" s="209"/>
    </row>
    <row r="209" ht="15.75" customHeight="1">
      <c r="B209" s="209"/>
      <c r="C209" s="209"/>
      <c r="D209" s="209"/>
    </row>
    <row r="210" ht="15.75" customHeight="1">
      <c r="B210" s="209"/>
      <c r="C210" s="209"/>
      <c r="D210" s="209"/>
    </row>
    <row r="211" ht="15.75" customHeight="1">
      <c r="B211" s="209"/>
      <c r="C211" s="209"/>
      <c r="D211" s="209"/>
    </row>
    <row r="212" ht="15.75" customHeight="1">
      <c r="B212" s="209"/>
      <c r="C212" s="209"/>
      <c r="D212" s="209"/>
    </row>
    <row r="213" ht="15.75" customHeight="1">
      <c r="B213" s="209"/>
      <c r="C213" s="209"/>
      <c r="D213" s="209"/>
    </row>
    <row r="214" ht="15.75" customHeight="1">
      <c r="B214" s="209"/>
      <c r="C214" s="209"/>
      <c r="D214" s="209"/>
    </row>
    <row r="215" ht="15.75" customHeight="1">
      <c r="B215" s="209"/>
      <c r="C215" s="209"/>
      <c r="D215" s="209"/>
    </row>
    <row r="216" ht="15.75" customHeight="1">
      <c r="B216" s="209"/>
      <c r="C216" s="209"/>
      <c r="D216" s="209"/>
    </row>
    <row r="217" ht="15.75" customHeight="1">
      <c r="B217" s="209"/>
      <c r="C217" s="209"/>
      <c r="D217" s="209"/>
    </row>
    <row r="218" ht="15.75" customHeight="1">
      <c r="B218" s="209"/>
      <c r="C218" s="209"/>
      <c r="D218" s="209"/>
    </row>
    <row r="219" ht="15.75" customHeight="1">
      <c r="B219" s="209"/>
      <c r="C219" s="209"/>
      <c r="D219" s="209"/>
    </row>
    <row r="220" ht="15.75" customHeight="1">
      <c r="B220" s="209"/>
      <c r="C220" s="209"/>
      <c r="D220" s="20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6" width="11.22"/>
  </cols>
  <sheetData>
    <row r="1">
      <c r="A1" s="195" t="s">
        <v>1156</v>
      </c>
      <c r="B1" s="204" t="s">
        <v>1157</v>
      </c>
      <c r="C1" s="204" t="s">
        <v>1158</v>
      </c>
      <c r="D1" s="195" t="s">
        <v>1159</v>
      </c>
    </row>
    <row r="2">
      <c r="A2" s="195" t="s">
        <v>1160</v>
      </c>
      <c r="B2" s="205">
        <v>42.0</v>
      </c>
      <c r="C2" s="255"/>
      <c r="D2" s="256"/>
    </row>
    <row r="3">
      <c r="A3" s="195" t="s">
        <v>1161</v>
      </c>
      <c r="B3" s="257">
        <v>67.5</v>
      </c>
      <c r="C3" s="256"/>
      <c r="D3" s="256"/>
    </row>
    <row r="4">
      <c r="A4" s="195" t="s">
        <v>1162</v>
      </c>
      <c r="B4" s="205">
        <v>42.0</v>
      </c>
      <c r="C4" s="256"/>
      <c r="D4" s="256"/>
    </row>
    <row r="5">
      <c r="A5" s="195" t="s">
        <v>1163</v>
      </c>
      <c r="B5" s="257">
        <v>67.5</v>
      </c>
      <c r="C5" s="256"/>
      <c r="D5" s="256"/>
    </row>
    <row r="6">
      <c r="A6" s="195" t="s">
        <v>1164</v>
      </c>
      <c r="B6" s="205">
        <v>150.0</v>
      </c>
      <c r="C6" s="256"/>
      <c r="D6" s="256"/>
    </row>
    <row r="7">
      <c r="A7" s="203" t="s">
        <v>1165</v>
      </c>
      <c r="B7" s="257">
        <v>67.5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6" width="11.22"/>
  </cols>
  <sheetData>
    <row r="1">
      <c r="A1" s="195" t="s">
        <v>1156</v>
      </c>
      <c r="B1" s="204" t="s">
        <v>1157</v>
      </c>
      <c r="C1" s="204" t="s">
        <v>1158</v>
      </c>
      <c r="D1" s="204" t="s">
        <v>1159</v>
      </c>
    </row>
    <row r="2">
      <c r="A2" s="195" t="s">
        <v>1160</v>
      </c>
      <c r="B2" s="205">
        <v>250.0</v>
      </c>
      <c r="C2" s="206">
        <v>250.0</v>
      </c>
      <c r="D2" s="206">
        <v>250.0</v>
      </c>
    </row>
    <row r="3">
      <c r="A3" s="195" t="s">
        <v>1161</v>
      </c>
      <c r="B3" s="205">
        <v>250.0</v>
      </c>
      <c r="C3" s="206">
        <v>250.0</v>
      </c>
      <c r="D3" s="206">
        <v>250.0</v>
      </c>
    </row>
    <row r="4">
      <c r="A4" s="195" t="s">
        <v>1162</v>
      </c>
      <c r="B4" s="205">
        <v>250.0</v>
      </c>
      <c r="C4" s="206">
        <v>250.0</v>
      </c>
      <c r="D4" s="206">
        <v>250.0</v>
      </c>
    </row>
    <row r="5">
      <c r="A5" s="195" t="s">
        <v>1163</v>
      </c>
      <c r="B5" s="205">
        <v>250.0</v>
      </c>
      <c r="C5" s="206">
        <v>250.0</v>
      </c>
      <c r="D5" s="206">
        <v>250.0</v>
      </c>
    </row>
    <row r="6">
      <c r="A6" s="195" t="s">
        <v>1164</v>
      </c>
      <c r="B6" s="205">
        <v>350.0</v>
      </c>
      <c r="C6" s="206">
        <v>350.0</v>
      </c>
      <c r="D6" s="206">
        <v>350.0</v>
      </c>
    </row>
    <row r="7">
      <c r="A7" s="203" t="s">
        <v>1165</v>
      </c>
      <c r="B7" s="258">
        <v>270.0</v>
      </c>
      <c r="C7" s="258">
        <v>270.0</v>
      </c>
      <c r="D7" s="258">
        <v>270.0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22"/>
    <col customWidth="1" min="2" max="2" width="83.33"/>
    <col customWidth="1" min="3" max="6" width="11.22"/>
  </cols>
  <sheetData>
    <row r="1">
      <c r="A1" s="195" t="s">
        <v>1166</v>
      </c>
      <c r="B1" s="259" t="s">
        <v>1167</v>
      </c>
    </row>
    <row r="2">
      <c r="A2" s="195" t="s">
        <v>1168</v>
      </c>
      <c r="B2" s="259" t="s">
        <v>1169</v>
      </c>
    </row>
    <row r="3">
      <c r="A3" s="195" t="s">
        <v>1170</v>
      </c>
      <c r="B3" s="259" t="s">
        <v>1171</v>
      </c>
    </row>
    <row r="4">
      <c r="A4" s="195" t="s">
        <v>844</v>
      </c>
      <c r="B4" s="259" t="s">
        <v>1172</v>
      </c>
    </row>
    <row r="5">
      <c r="A5" s="195" t="s">
        <v>71</v>
      </c>
      <c r="B5" s="259" t="s">
        <v>1173</v>
      </c>
    </row>
    <row r="6">
      <c r="B6" s="259"/>
    </row>
    <row r="7">
      <c r="B7" s="259"/>
    </row>
    <row r="8">
      <c r="B8" s="259"/>
    </row>
    <row r="9">
      <c r="B9" s="259"/>
    </row>
    <row r="10">
      <c r="B10" s="259"/>
    </row>
    <row r="11">
      <c r="B11" s="259"/>
    </row>
    <row r="12">
      <c r="B12" s="259"/>
    </row>
    <row r="13">
      <c r="B13" s="259"/>
    </row>
    <row r="14">
      <c r="B14" s="259"/>
    </row>
    <row r="15">
      <c r="B15" s="259"/>
    </row>
    <row r="16">
      <c r="B16" s="259"/>
    </row>
    <row r="17">
      <c r="B17" s="259"/>
    </row>
    <row r="18">
      <c r="B18" s="259"/>
    </row>
    <row r="19">
      <c r="B19" s="259"/>
    </row>
    <row r="20">
      <c r="B20" s="259"/>
    </row>
    <row r="21" ht="15.75" customHeight="1">
      <c r="B21" s="259"/>
    </row>
    <row r="22" ht="15.75" customHeight="1">
      <c r="B22" s="259"/>
    </row>
    <row r="23" ht="15.75" customHeight="1">
      <c r="B23" s="259"/>
    </row>
    <row r="24" ht="15.75" customHeight="1">
      <c r="B24" s="259"/>
    </row>
    <row r="25" ht="15.75" customHeight="1">
      <c r="B25" s="259"/>
    </row>
    <row r="26" ht="15.75" customHeight="1">
      <c r="B26" s="259"/>
    </row>
    <row r="27" ht="15.75" customHeight="1">
      <c r="B27" s="259"/>
    </row>
    <row r="28" ht="15.75" customHeight="1">
      <c r="B28" s="259"/>
    </row>
    <row r="29" ht="15.75" customHeight="1">
      <c r="B29" s="259"/>
    </row>
    <row r="30" ht="15.75" customHeight="1">
      <c r="B30" s="259"/>
    </row>
    <row r="31" ht="15.75" customHeight="1">
      <c r="B31" s="259"/>
    </row>
    <row r="32" ht="15.75" customHeight="1">
      <c r="B32" s="259"/>
    </row>
    <row r="33" ht="15.75" customHeight="1">
      <c r="B33" s="259"/>
    </row>
    <row r="34" ht="15.75" customHeight="1">
      <c r="B34" s="259"/>
    </row>
    <row r="35" ht="15.75" customHeight="1">
      <c r="B35" s="259"/>
    </row>
    <row r="36" ht="15.75" customHeight="1">
      <c r="B36" s="259"/>
    </row>
    <row r="37" ht="15.75" customHeight="1">
      <c r="B37" s="259"/>
    </row>
    <row r="38" ht="15.75" customHeight="1">
      <c r="B38" s="259"/>
    </row>
    <row r="39" ht="15.75" customHeight="1">
      <c r="B39" s="259"/>
    </row>
    <row r="40" ht="15.75" customHeight="1">
      <c r="B40" s="259"/>
    </row>
    <row r="41" ht="15.75" customHeight="1">
      <c r="B41" s="259"/>
    </row>
    <row r="42" ht="15.75" customHeight="1">
      <c r="B42" s="259"/>
    </row>
    <row r="43" ht="15.75" customHeight="1">
      <c r="B43" s="259"/>
    </row>
    <row r="44" ht="15.75" customHeight="1">
      <c r="B44" s="259"/>
    </row>
    <row r="45" ht="15.75" customHeight="1">
      <c r="B45" s="259"/>
    </row>
    <row r="46" ht="15.75" customHeight="1">
      <c r="B46" s="259"/>
    </row>
    <row r="47" ht="15.75" customHeight="1">
      <c r="B47" s="259"/>
    </row>
    <row r="48" ht="15.75" customHeight="1">
      <c r="B48" s="259"/>
    </row>
    <row r="49" ht="15.75" customHeight="1">
      <c r="B49" s="259"/>
    </row>
    <row r="50" ht="15.75" customHeight="1">
      <c r="B50" s="259"/>
    </row>
    <row r="51" ht="15.75" customHeight="1">
      <c r="B51" s="259"/>
    </row>
    <row r="52" ht="15.75" customHeight="1">
      <c r="B52" s="259"/>
    </row>
    <row r="53" ht="15.75" customHeight="1">
      <c r="B53" s="259"/>
    </row>
    <row r="54" ht="15.75" customHeight="1">
      <c r="B54" s="259"/>
    </row>
    <row r="55" ht="15.75" customHeight="1">
      <c r="B55" s="259"/>
    </row>
    <row r="56" ht="15.75" customHeight="1">
      <c r="B56" s="259"/>
    </row>
    <row r="57" ht="15.75" customHeight="1">
      <c r="B57" s="259"/>
    </row>
    <row r="58" ht="15.75" customHeight="1">
      <c r="B58" s="259"/>
    </row>
    <row r="59" ht="15.75" customHeight="1">
      <c r="B59" s="259"/>
    </row>
    <row r="60" ht="15.75" customHeight="1">
      <c r="B60" s="259"/>
    </row>
    <row r="61" ht="15.75" customHeight="1">
      <c r="B61" s="259"/>
    </row>
    <row r="62" ht="15.75" customHeight="1">
      <c r="B62" s="259"/>
    </row>
    <row r="63" ht="15.75" customHeight="1">
      <c r="B63" s="259"/>
    </row>
    <row r="64" ht="15.75" customHeight="1">
      <c r="B64" s="259"/>
    </row>
    <row r="65" ht="15.75" customHeight="1">
      <c r="B65" s="259"/>
    </row>
    <row r="66" ht="15.75" customHeight="1">
      <c r="B66" s="259"/>
    </row>
    <row r="67" ht="15.75" customHeight="1">
      <c r="B67" s="259"/>
    </row>
    <row r="68" ht="15.75" customHeight="1">
      <c r="B68" s="259"/>
    </row>
    <row r="69" ht="15.75" customHeight="1">
      <c r="B69" s="259"/>
    </row>
    <row r="70" ht="15.75" customHeight="1">
      <c r="B70" s="259"/>
    </row>
    <row r="71" ht="15.75" customHeight="1">
      <c r="B71" s="259"/>
    </row>
    <row r="72" ht="15.75" customHeight="1">
      <c r="B72" s="259"/>
    </row>
    <row r="73" ht="15.75" customHeight="1">
      <c r="B73" s="259"/>
    </row>
    <row r="74" ht="15.75" customHeight="1">
      <c r="B74" s="259"/>
    </row>
    <row r="75" ht="15.75" customHeight="1">
      <c r="B75" s="259"/>
    </row>
    <row r="76" ht="15.75" customHeight="1">
      <c r="B76" s="259"/>
    </row>
    <row r="77" ht="15.75" customHeight="1">
      <c r="B77" s="259"/>
    </row>
    <row r="78" ht="15.75" customHeight="1">
      <c r="B78" s="259"/>
    </row>
    <row r="79" ht="15.75" customHeight="1">
      <c r="B79" s="259"/>
    </row>
    <row r="80" ht="15.75" customHeight="1">
      <c r="B80" s="259"/>
    </row>
    <row r="81" ht="15.75" customHeight="1">
      <c r="B81" s="259"/>
    </row>
    <row r="82" ht="15.75" customHeight="1">
      <c r="B82" s="259"/>
    </row>
    <row r="83" ht="15.75" customHeight="1">
      <c r="B83" s="259"/>
    </row>
    <row r="84" ht="15.75" customHeight="1">
      <c r="B84" s="259"/>
    </row>
    <row r="85" ht="15.75" customHeight="1">
      <c r="B85" s="259"/>
    </row>
    <row r="86" ht="15.75" customHeight="1">
      <c r="B86" s="259"/>
    </row>
    <row r="87" ht="15.75" customHeight="1">
      <c r="B87" s="259"/>
    </row>
    <row r="88" ht="15.75" customHeight="1">
      <c r="B88" s="259"/>
    </row>
    <row r="89" ht="15.75" customHeight="1">
      <c r="B89" s="259"/>
    </row>
    <row r="90" ht="15.75" customHeight="1">
      <c r="B90" s="259"/>
    </row>
    <row r="91" ht="15.75" customHeight="1">
      <c r="B91" s="259"/>
    </row>
    <row r="92" ht="15.75" customHeight="1">
      <c r="B92" s="259"/>
    </row>
    <row r="93" ht="15.75" customHeight="1">
      <c r="B93" s="259"/>
    </row>
    <row r="94" ht="15.75" customHeight="1">
      <c r="B94" s="259"/>
    </row>
    <row r="95" ht="15.75" customHeight="1">
      <c r="B95" s="259"/>
    </row>
    <row r="96" ht="15.75" customHeight="1">
      <c r="B96" s="259"/>
    </row>
    <row r="97" ht="15.75" customHeight="1">
      <c r="B97" s="259"/>
    </row>
    <row r="98" ht="15.75" customHeight="1">
      <c r="B98" s="259"/>
    </row>
    <row r="99" ht="15.75" customHeight="1">
      <c r="B99" s="259"/>
    </row>
    <row r="100" ht="15.75" customHeight="1">
      <c r="B100" s="259"/>
    </row>
    <row r="101" ht="15.75" customHeight="1">
      <c r="B101" s="259"/>
    </row>
    <row r="102" ht="15.75" customHeight="1">
      <c r="B102" s="259"/>
    </row>
    <row r="103" ht="15.75" customHeight="1">
      <c r="B103" s="259"/>
    </row>
    <row r="104" ht="15.75" customHeight="1">
      <c r="B104" s="259"/>
    </row>
    <row r="105" ht="15.75" customHeight="1">
      <c r="B105" s="259"/>
    </row>
    <row r="106" ht="15.75" customHeight="1">
      <c r="B106" s="259"/>
    </row>
    <row r="107" ht="15.75" customHeight="1">
      <c r="B107" s="259"/>
    </row>
    <row r="108" ht="15.75" customHeight="1">
      <c r="B108" s="259"/>
    </row>
    <row r="109" ht="15.75" customHeight="1">
      <c r="B109" s="259"/>
    </row>
    <row r="110" ht="15.75" customHeight="1">
      <c r="B110" s="259"/>
    </row>
    <row r="111" ht="15.75" customHeight="1">
      <c r="B111" s="259"/>
    </row>
    <row r="112" ht="15.75" customHeight="1">
      <c r="B112" s="259"/>
    </row>
    <row r="113" ht="15.75" customHeight="1">
      <c r="B113" s="259"/>
    </row>
    <row r="114" ht="15.75" customHeight="1">
      <c r="B114" s="259"/>
    </row>
    <row r="115" ht="15.75" customHeight="1">
      <c r="B115" s="259"/>
    </row>
    <row r="116" ht="15.75" customHeight="1">
      <c r="B116" s="259"/>
    </row>
    <row r="117" ht="15.75" customHeight="1">
      <c r="B117" s="259"/>
    </row>
    <row r="118" ht="15.75" customHeight="1">
      <c r="B118" s="259"/>
    </row>
    <row r="119" ht="15.75" customHeight="1">
      <c r="B119" s="259"/>
    </row>
    <row r="120" ht="15.75" customHeight="1">
      <c r="B120" s="259"/>
    </row>
    <row r="121" ht="15.75" customHeight="1">
      <c r="B121" s="259"/>
    </row>
    <row r="122" ht="15.75" customHeight="1">
      <c r="B122" s="259"/>
    </row>
    <row r="123" ht="15.75" customHeight="1">
      <c r="B123" s="259"/>
    </row>
    <row r="124" ht="15.75" customHeight="1">
      <c r="B124" s="259"/>
    </row>
    <row r="125" ht="15.75" customHeight="1">
      <c r="B125" s="259"/>
    </row>
    <row r="126" ht="15.75" customHeight="1">
      <c r="B126" s="259"/>
    </row>
    <row r="127" ht="15.75" customHeight="1">
      <c r="B127" s="259"/>
    </row>
    <row r="128" ht="15.75" customHeight="1">
      <c r="B128" s="259"/>
    </row>
    <row r="129" ht="15.75" customHeight="1">
      <c r="B129" s="259"/>
    </row>
    <row r="130" ht="15.75" customHeight="1">
      <c r="B130" s="259"/>
    </row>
    <row r="131" ht="15.75" customHeight="1">
      <c r="B131" s="259"/>
    </row>
    <row r="132" ht="15.75" customHeight="1">
      <c r="B132" s="259"/>
    </row>
    <row r="133" ht="15.75" customHeight="1">
      <c r="B133" s="259"/>
    </row>
    <row r="134" ht="15.75" customHeight="1">
      <c r="B134" s="259"/>
    </row>
    <row r="135" ht="15.75" customHeight="1">
      <c r="B135" s="259"/>
    </row>
    <row r="136" ht="15.75" customHeight="1">
      <c r="B136" s="259"/>
    </row>
    <row r="137" ht="15.75" customHeight="1">
      <c r="B137" s="259"/>
    </row>
    <row r="138" ht="15.75" customHeight="1">
      <c r="B138" s="259"/>
    </row>
    <row r="139" ht="15.75" customHeight="1">
      <c r="B139" s="259"/>
    </row>
    <row r="140" ht="15.75" customHeight="1">
      <c r="B140" s="259"/>
    </row>
    <row r="141" ht="15.75" customHeight="1">
      <c r="B141" s="259"/>
    </row>
    <row r="142" ht="15.75" customHeight="1">
      <c r="B142" s="259"/>
    </row>
    <row r="143" ht="15.75" customHeight="1">
      <c r="B143" s="259"/>
    </row>
    <row r="144" ht="15.75" customHeight="1">
      <c r="B144" s="259"/>
    </row>
    <row r="145" ht="15.75" customHeight="1">
      <c r="B145" s="259"/>
    </row>
    <row r="146" ht="15.75" customHeight="1">
      <c r="B146" s="259"/>
    </row>
    <row r="147" ht="15.75" customHeight="1">
      <c r="B147" s="259"/>
    </row>
    <row r="148" ht="15.75" customHeight="1">
      <c r="B148" s="259"/>
    </row>
    <row r="149" ht="15.75" customHeight="1">
      <c r="B149" s="259"/>
    </row>
    <row r="150" ht="15.75" customHeight="1">
      <c r="B150" s="259"/>
    </row>
    <row r="151" ht="15.75" customHeight="1">
      <c r="B151" s="259"/>
    </row>
    <row r="152" ht="15.75" customHeight="1">
      <c r="B152" s="259"/>
    </row>
    <row r="153" ht="15.75" customHeight="1">
      <c r="B153" s="259"/>
    </row>
    <row r="154" ht="15.75" customHeight="1">
      <c r="B154" s="259"/>
    </row>
    <row r="155" ht="15.75" customHeight="1">
      <c r="B155" s="259"/>
    </row>
    <row r="156" ht="15.75" customHeight="1">
      <c r="B156" s="259"/>
    </row>
    <row r="157" ht="15.75" customHeight="1">
      <c r="B157" s="259"/>
    </row>
    <row r="158" ht="15.75" customHeight="1">
      <c r="B158" s="259"/>
    </row>
    <row r="159" ht="15.75" customHeight="1">
      <c r="B159" s="259"/>
    </row>
    <row r="160" ht="15.75" customHeight="1">
      <c r="B160" s="259"/>
    </row>
    <row r="161" ht="15.75" customHeight="1">
      <c r="B161" s="259"/>
    </row>
    <row r="162" ht="15.75" customHeight="1">
      <c r="B162" s="259"/>
    </row>
    <row r="163" ht="15.75" customHeight="1">
      <c r="B163" s="259"/>
    </row>
    <row r="164" ht="15.75" customHeight="1">
      <c r="B164" s="259"/>
    </row>
    <row r="165" ht="15.75" customHeight="1">
      <c r="B165" s="259"/>
    </row>
    <row r="166" ht="15.75" customHeight="1">
      <c r="B166" s="259"/>
    </row>
    <row r="167" ht="15.75" customHeight="1">
      <c r="B167" s="259"/>
    </row>
    <row r="168" ht="15.75" customHeight="1">
      <c r="B168" s="259"/>
    </row>
    <row r="169" ht="15.75" customHeight="1">
      <c r="B169" s="259"/>
    </row>
    <row r="170" ht="15.75" customHeight="1">
      <c r="B170" s="259"/>
    </row>
    <row r="171" ht="15.75" customHeight="1">
      <c r="B171" s="259"/>
    </row>
    <row r="172" ht="15.75" customHeight="1">
      <c r="B172" s="259"/>
    </row>
    <row r="173" ht="15.75" customHeight="1">
      <c r="B173" s="259"/>
    </row>
    <row r="174" ht="15.75" customHeight="1">
      <c r="B174" s="259"/>
    </row>
    <row r="175" ht="15.75" customHeight="1">
      <c r="B175" s="259"/>
    </row>
    <row r="176" ht="15.75" customHeight="1">
      <c r="B176" s="259"/>
    </row>
    <row r="177" ht="15.75" customHeight="1">
      <c r="B177" s="259"/>
    </row>
    <row r="178" ht="15.75" customHeight="1">
      <c r="B178" s="259"/>
    </row>
    <row r="179" ht="15.75" customHeight="1">
      <c r="B179" s="259"/>
    </row>
    <row r="180" ht="15.75" customHeight="1">
      <c r="B180" s="259"/>
    </row>
    <row r="181" ht="15.75" customHeight="1">
      <c r="B181" s="259"/>
    </row>
    <row r="182" ht="15.75" customHeight="1">
      <c r="B182" s="259"/>
    </row>
    <row r="183" ht="15.75" customHeight="1">
      <c r="B183" s="259"/>
    </row>
    <row r="184" ht="15.75" customHeight="1">
      <c r="B184" s="259"/>
    </row>
    <row r="185" ht="15.75" customHeight="1">
      <c r="B185" s="259"/>
    </row>
    <row r="186" ht="15.75" customHeight="1">
      <c r="B186" s="259"/>
    </row>
    <row r="187" ht="15.75" customHeight="1">
      <c r="B187" s="259"/>
    </row>
    <row r="188" ht="15.75" customHeight="1">
      <c r="B188" s="259"/>
    </row>
    <row r="189" ht="15.75" customHeight="1">
      <c r="B189" s="259"/>
    </row>
    <row r="190" ht="15.75" customHeight="1">
      <c r="B190" s="259"/>
    </row>
    <row r="191" ht="15.75" customHeight="1">
      <c r="B191" s="259"/>
    </row>
    <row r="192" ht="15.75" customHeight="1">
      <c r="B192" s="259"/>
    </row>
    <row r="193" ht="15.75" customHeight="1">
      <c r="B193" s="259"/>
    </row>
    <row r="194" ht="15.75" customHeight="1">
      <c r="B194" s="259"/>
    </row>
    <row r="195" ht="15.75" customHeight="1">
      <c r="B195" s="259"/>
    </row>
    <row r="196" ht="15.75" customHeight="1">
      <c r="B196" s="259"/>
    </row>
    <row r="197" ht="15.75" customHeight="1">
      <c r="B197" s="259"/>
    </row>
    <row r="198" ht="15.75" customHeight="1">
      <c r="B198" s="259"/>
    </row>
    <row r="199" ht="15.75" customHeight="1">
      <c r="B199" s="259"/>
    </row>
    <row r="200" ht="15.75" customHeight="1">
      <c r="B200" s="259"/>
    </row>
    <row r="201" ht="15.75" customHeight="1">
      <c r="B201" s="259"/>
    </row>
    <row r="202" ht="15.75" customHeight="1">
      <c r="B202" s="259"/>
    </row>
    <row r="203" ht="15.75" customHeight="1">
      <c r="B203" s="259"/>
    </row>
    <row r="204" ht="15.75" customHeight="1">
      <c r="B204" s="259"/>
    </row>
    <row r="205" ht="15.75" customHeight="1">
      <c r="B205" s="259"/>
    </row>
    <row r="206" ht="15.75" customHeight="1">
      <c r="B206" s="259"/>
    </row>
    <row r="207" ht="15.75" customHeight="1">
      <c r="B207" s="259"/>
    </row>
    <row r="208" ht="15.75" customHeight="1">
      <c r="B208" s="259"/>
    </row>
    <row r="209" ht="15.75" customHeight="1">
      <c r="B209" s="259"/>
    </row>
    <row r="210" ht="15.75" customHeight="1">
      <c r="B210" s="259"/>
    </row>
    <row r="211" ht="15.75" customHeight="1">
      <c r="B211" s="259"/>
    </row>
    <row r="212" ht="15.75" customHeight="1">
      <c r="B212" s="259"/>
    </row>
    <row r="213" ht="15.75" customHeight="1">
      <c r="B213" s="259"/>
    </row>
    <row r="214" ht="15.75" customHeight="1">
      <c r="B214" s="259"/>
    </row>
    <row r="215" ht="15.75" customHeight="1">
      <c r="B215" s="259"/>
    </row>
    <row r="216" ht="15.75" customHeight="1">
      <c r="B216" s="259"/>
    </row>
    <row r="217" ht="15.75" customHeight="1">
      <c r="B217" s="259"/>
    </row>
    <row r="218" ht="15.75" customHeight="1">
      <c r="B218" s="259"/>
    </row>
    <row r="219" ht="15.75" customHeight="1">
      <c r="B219" s="259"/>
    </row>
    <row r="220" ht="15.75" customHeight="1">
      <c r="B220" s="25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2019-09-17T14:22:23Z</dcterms:created>
  <dc:creator>Veenstra, Graham</dc:creator>
</cp:coreProperties>
</file>